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ode Projects\MathematicallyCorrectEmpire\"/>
    </mc:Choice>
  </mc:AlternateContent>
  <xr:revisionPtr revIDLastSave="0" documentId="13_ncr:1_{FB949AAA-C74F-45B2-991A-E1DF153D46AD}" xr6:coauthVersionLast="47" xr6:coauthVersionMax="47" xr10:uidLastSave="{00000000-0000-0000-0000-000000000000}"/>
  <bookViews>
    <workbookView xWindow="-120" yWindow="-120" windowWidth="29040" windowHeight="15840" activeTab="4" xr2:uid="{B1B110E7-56D6-48DB-9521-3A3595BA1093}"/>
  </bookViews>
  <sheets>
    <sheet name="Base" sheetId="1" r:id="rId1"/>
    <sheet name="Custom" sheetId="3" r:id="rId2"/>
    <sheet name="Corrected" sheetId="4" r:id="rId3"/>
    <sheet name="Custom Corrected" sheetId="5" r:id="rId4"/>
    <sheet name="Testing" sheetId="7" r:id="rId5"/>
  </sheets>
  <definedNames>
    <definedName name="B_ROWS" localSheetId="4">Testing!$D$2:$I$2,Testing!$D$8:$I$8,Testing!$D$13:$I$14,Testing!$D$16:$I$16,Testing!$D$19:$I$19</definedName>
    <definedName name="B_ROWS">'Custom Corrected'!$D$2:$I$2,'Custom Corrected'!$D$8:$I$8,'Custom Corrected'!$D$13:$I$14,'Custom Corrected'!$D$16:$I$16,'Custom Corrected'!$D$19:$I$19</definedName>
    <definedName name="H_ROWS" localSheetId="4">Testing!$D$9:$I$9,Testing!$D$11:$I$12,Testing!$D$15:$I$15,Testing!$D$17:$I$18</definedName>
    <definedName name="H_ROWS">'Custom Corrected'!$D$9:$I$9,'Custom Corrected'!$D$11:$I$12,'Custom Corrected'!$D$15:$I$15,'Custom Corrected'!$D$17:$I$18</definedName>
    <definedName name="M_ROWS" localSheetId="4">Testing!$D$3:$I$7,Testing!$D$20:$I$21</definedName>
    <definedName name="M_ROWS">'Custom Corrected'!$D$3:$I$7,'Custom Corrected'!$D$20:$I$21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7" l="1"/>
  <c r="J22" i="7"/>
  <c r="K22" i="7"/>
  <c r="P14" i="7"/>
  <c r="P13" i="7"/>
  <c r="P12" i="7"/>
  <c r="P11" i="7"/>
  <c r="P10" i="7"/>
  <c r="P9" i="7"/>
  <c r="P8" i="7"/>
  <c r="P7" i="7"/>
  <c r="P6" i="7"/>
  <c r="P5" i="7"/>
  <c r="P4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P3" i="7"/>
  <c r="Q21" i="7" s="1"/>
  <c r="M13" i="5"/>
  <c r="M12" i="5"/>
  <c r="M11" i="5"/>
  <c r="M10" i="5"/>
  <c r="M9" i="5"/>
  <c r="M8" i="5"/>
  <c r="M7" i="5"/>
  <c r="M6" i="5"/>
  <c r="M5" i="5"/>
  <c r="M4" i="5"/>
  <c r="M3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M2" i="5"/>
  <c r="N22" i="4"/>
  <c r="N21" i="4"/>
  <c r="N20" i="4"/>
  <c r="N19" i="4"/>
  <c r="K21" i="7" a="1"/>
  <c r="K20" i="7" a="1"/>
  <c r="K19" i="7" a="1"/>
  <c r="K18" i="7" a="1"/>
  <c r="K17" i="7" a="1"/>
  <c r="K16" i="7" a="1"/>
  <c r="K15" i="7" a="1"/>
  <c r="K14" i="7" a="1"/>
  <c r="K13" i="7" a="1"/>
  <c r="K12" i="7" a="1"/>
  <c r="K11" i="7" a="1"/>
  <c r="K10" i="7" a="1"/>
  <c r="K9" i="7" a="1"/>
  <c r="K8" i="7" a="1"/>
  <c r="K7" i="7" a="1"/>
  <c r="K6" i="7" a="1"/>
  <c r="K5" i="7" a="1"/>
  <c r="K4" i="7" a="1"/>
  <c r="K3" i="7" a="1"/>
  <c r="K2" i="7" a="1"/>
  <c r="R8" i="7" a="1"/>
  <c r="R3" i="7" a="1"/>
  <c r="R9" i="7" a="1"/>
  <c r="R5" i="7" a="1"/>
  <c r="R4" i="7" a="1"/>
  <c r="R10" i="7" a="1"/>
  <c r="O4" i="5" a="1"/>
  <c r="O3" i="5" a="1"/>
  <c r="O2" i="5" a="1"/>
  <c r="O9" i="5" a="1"/>
  <c r="O8" i="5" a="1"/>
  <c r="O7" i="5" a="1"/>
  <c r="K21" i="7" l="1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R8" i="7"/>
  <c r="Q20" i="7"/>
  <c r="Q22" i="7" s="1"/>
  <c r="Q23" i="7" s="1"/>
  <c r="R10" i="7"/>
  <c r="R4" i="7"/>
  <c r="S4" i="7" s="1"/>
  <c r="R5" i="7"/>
  <c r="S5" i="7" s="1"/>
  <c r="R9" i="7"/>
  <c r="R3" i="7"/>
  <c r="P15" i="7"/>
  <c r="O4" i="5"/>
  <c r="P4" i="5" s="1"/>
  <c r="O3" i="5"/>
  <c r="O2" i="5"/>
  <c r="P2" i="5" s="1"/>
  <c r="O9" i="5"/>
  <c r="O8" i="5"/>
  <c r="O7" i="5"/>
  <c r="P3" i="5"/>
  <c r="N20" i="5"/>
  <c r="N19" i="5"/>
  <c r="M14" i="5"/>
  <c r="M13" i="4"/>
  <c r="O4" i="4"/>
  <c r="P4" i="4" s="1"/>
  <c r="M12" i="4"/>
  <c r="M11" i="4"/>
  <c r="M10" i="4"/>
  <c r="M9" i="4"/>
  <c r="M8" i="4"/>
  <c r="M7" i="4"/>
  <c r="M6" i="4"/>
  <c r="M5" i="4"/>
  <c r="M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O3" i="4"/>
  <c r="P3" i="4" s="1"/>
  <c r="M3" i="4"/>
  <c r="A3" i="4"/>
  <c r="O2" i="4"/>
  <c r="M2" i="4"/>
  <c r="O4" i="3"/>
  <c r="O3" i="3"/>
  <c r="O2" i="3"/>
  <c r="M12" i="3"/>
  <c r="M11" i="3"/>
  <c r="M10" i="3"/>
  <c r="M9" i="3"/>
  <c r="M8" i="3"/>
  <c r="M7" i="3"/>
  <c r="M6" i="3"/>
  <c r="M5" i="3"/>
  <c r="M4" i="3"/>
  <c r="M3" i="3"/>
  <c r="M2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R11" i="7" l="1"/>
  <c r="R6" i="7"/>
  <c r="S3" i="7"/>
  <c r="O10" i="5"/>
  <c r="O5" i="5"/>
  <c r="N21" i="5"/>
  <c r="N22" i="5" s="1"/>
  <c r="M14" i="4"/>
  <c r="O5" i="4"/>
  <c r="P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<sst xmlns="http://schemas.openxmlformats.org/spreadsheetml/2006/main" count="940" uniqueCount="75">
  <si>
    <t>Fossbarrow</t>
  </si>
  <si>
    <t>Academy</t>
  </si>
  <si>
    <t>Hawkstone</t>
  </si>
  <si>
    <t>Uwendale</t>
  </si>
  <si>
    <t>BrennTor</t>
  </si>
  <si>
    <t>Barracks</t>
  </si>
  <si>
    <t>Resource</t>
  </si>
  <si>
    <t>Pinara</t>
  </si>
  <si>
    <t>HighSilvermere</t>
  </si>
  <si>
    <t>Quartermaster</t>
  </si>
  <si>
    <t>Aviary</t>
  </si>
  <si>
    <t>Meltridge</t>
  </si>
  <si>
    <t>Graygate</t>
  </si>
  <si>
    <t>Farm</t>
  </si>
  <si>
    <t>GreatCity</t>
  </si>
  <si>
    <t>Marketplace</t>
  </si>
  <si>
    <t>Jandelle</t>
  </si>
  <si>
    <t>Hayneath</t>
  </si>
  <si>
    <t>Unique</t>
  </si>
  <si>
    <t>Cloudfield</t>
  </si>
  <si>
    <t>Wrimvale</t>
  </si>
  <si>
    <t>Tylburne</t>
  </si>
  <si>
    <t>Dawnhold</t>
  </si>
  <si>
    <t>Vaskasia</t>
  </si>
  <si>
    <t>Brookhollow</t>
  </si>
  <si>
    <t>Terbisia</t>
  </si>
  <si>
    <t>Evenmoor</t>
  </si>
  <si>
    <t>Wrenwall</t>
  </si>
  <si>
    <t>Name</t>
  </si>
  <si>
    <t>S1</t>
  </si>
  <si>
    <t>S2</t>
  </si>
  <si>
    <t>S3</t>
  </si>
  <si>
    <t>S4</t>
  </si>
  <si>
    <t>S5</t>
  </si>
  <si>
    <t>S6</t>
  </si>
  <si>
    <t>B</t>
  </si>
  <si>
    <t>M</t>
  </si>
  <si>
    <t>H</t>
  </si>
  <si>
    <t>C</t>
  </si>
  <si>
    <t>ID</t>
  </si>
  <si>
    <t>Type</t>
  </si>
  <si>
    <t>Quarry</t>
  </si>
  <si>
    <t>Forge</t>
  </si>
  <si>
    <t>Lumberyard</t>
  </si>
  <si>
    <t>Petricite Mill</t>
  </si>
  <si>
    <t># Academy</t>
  </si>
  <si>
    <t># Marketplace</t>
  </si>
  <si>
    <t># Quartermaster</t>
  </si>
  <si>
    <t># Aviary</t>
  </si>
  <si>
    <t># Barracks</t>
  </si>
  <si>
    <t># Farm</t>
  </si>
  <si>
    <t># Lumberyard</t>
  </si>
  <si>
    <t># Quarry</t>
  </si>
  <si>
    <t># Forge</t>
  </si>
  <si>
    <t># Petricite Mill</t>
  </si>
  <si>
    <t># Resource</t>
  </si>
  <si>
    <t># Academy in H</t>
  </si>
  <si>
    <t># Academy in M</t>
  </si>
  <si>
    <t># Academy in B</t>
  </si>
  <si>
    <t># Unique</t>
  </si>
  <si>
    <t># Total</t>
  </si>
  <si>
    <t>Bonus</t>
  </si>
  <si>
    <t># AC in B</t>
  </si>
  <si>
    <t>Total Production</t>
  </si>
  <si>
    <t>Resource Generators</t>
  </si>
  <si>
    <t>ACs + MPs</t>
  </si>
  <si>
    <t>Total Econ Structures</t>
  </si>
  <si>
    <t>Total Efficency  (%)</t>
  </si>
  <si>
    <t># Resource in H</t>
  </si>
  <si>
    <t># Resource in M</t>
  </si>
  <si>
    <t>Total</t>
  </si>
  <si>
    <t># of</t>
  </si>
  <si>
    <t># Resource in B</t>
  </si>
  <si>
    <t xml:space="preserve">Efficiency 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</si>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</sst>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7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22</xdr:row>
      <xdr:rowOff>9525</xdr:rowOff>
    </xdr:from>
    <xdr:to>
      <xdr:col>11</xdr:col>
      <xdr:colOff>20410</xdr:colOff>
      <xdr:row>56</xdr:row>
      <xdr:rowOff>77113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7603E-230F-377F-F1AA-54ABDD244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4200525"/>
          <a:ext cx="9745435" cy="6544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10</xdr:col>
      <xdr:colOff>506185</xdr:colOff>
      <xdr:row>57</xdr:row>
      <xdr:rowOff>67588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4E4E4-4E9F-45C8-B24F-61698849C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4381500"/>
          <a:ext cx="9745435" cy="6544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C12C-29AE-4E33-AFA8-E61B664ADBF6}">
  <sheetPr codeName="Sheet1"/>
  <dimension ref="A1:I21"/>
  <sheetViews>
    <sheetView workbookViewId="0">
      <selection activeCell="C18" sqref="C18"/>
    </sheetView>
  </sheetViews>
  <sheetFormatPr defaultRowHeight="15" x14ac:dyDescent="0.25"/>
  <cols>
    <col min="1" max="1" width="4.140625" customWidth="1"/>
    <col min="2" max="2" width="17.28515625" customWidth="1"/>
    <col min="3" max="3" width="16.140625" customWidth="1"/>
    <col min="4" max="9" width="15.7109375" customWidth="1"/>
    <col min="13" max="13" width="15.7109375" customWidth="1"/>
  </cols>
  <sheetData>
    <row r="1" spans="1:9" x14ac:dyDescent="0.25">
      <c r="A1" s="1" t="s">
        <v>39</v>
      </c>
      <c r="B1" s="1" t="s">
        <v>28</v>
      </c>
      <c r="C1" s="1" t="s">
        <v>40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25">
      <c r="A2" s="1">
        <v>0</v>
      </c>
      <c r="B2" s="1" t="s">
        <v>0</v>
      </c>
      <c r="C2" s="1" t="s">
        <v>35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25">
      <c r="A3" s="1">
        <f>A2 + 1</f>
        <v>1</v>
      </c>
      <c r="B3" s="1" t="s">
        <v>2</v>
      </c>
      <c r="C3" s="1" t="s">
        <v>36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 x14ac:dyDescent="0.25">
      <c r="A4" s="1">
        <f t="shared" ref="A4:A21" si="0">A3 + 1</f>
        <v>2</v>
      </c>
      <c r="B4" s="1" t="s">
        <v>3</v>
      </c>
      <c r="C4" s="1" t="s">
        <v>36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</row>
    <row r="5" spans="1:9" x14ac:dyDescent="0.25">
      <c r="A5" s="1">
        <f t="shared" si="0"/>
        <v>3</v>
      </c>
      <c r="B5" s="1" t="s">
        <v>4</v>
      </c>
      <c r="C5" s="1" t="s">
        <v>36</v>
      </c>
      <c r="D5" s="1" t="s">
        <v>5</v>
      </c>
      <c r="E5" s="1" t="s">
        <v>1</v>
      </c>
      <c r="F5" s="1" t="s">
        <v>1</v>
      </c>
      <c r="G5" s="1" t="s">
        <v>1</v>
      </c>
      <c r="H5" s="1" t="s">
        <v>6</v>
      </c>
      <c r="I5" s="1" t="s">
        <v>6</v>
      </c>
    </row>
    <row r="6" spans="1:9" x14ac:dyDescent="0.25">
      <c r="A6" s="1">
        <f t="shared" si="0"/>
        <v>4</v>
      </c>
      <c r="B6" s="1" t="s">
        <v>7</v>
      </c>
      <c r="C6" s="1" t="s">
        <v>36</v>
      </c>
      <c r="D6" s="1" t="s">
        <v>6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</row>
    <row r="7" spans="1:9" x14ac:dyDescent="0.25">
      <c r="A7" s="1">
        <f t="shared" si="0"/>
        <v>5</v>
      </c>
      <c r="B7" s="1" t="s">
        <v>8</v>
      </c>
      <c r="C7" s="2" t="s">
        <v>36</v>
      </c>
      <c r="D7" s="1" t="s">
        <v>9</v>
      </c>
      <c r="E7" s="1" t="s">
        <v>10</v>
      </c>
      <c r="F7" s="1" t="s">
        <v>6</v>
      </c>
      <c r="G7" s="1" t="s">
        <v>6</v>
      </c>
      <c r="H7" s="1" t="s">
        <v>6</v>
      </c>
      <c r="I7" s="1" t="s">
        <v>6</v>
      </c>
    </row>
    <row r="8" spans="1:9" x14ac:dyDescent="0.25">
      <c r="A8" s="1">
        <f t="shared" si="0"/>
        <v>6</v>
      </c>
      <c r="B8" s="1" t="s">
        <v>11</v>
      </c>
      <c r="C8" s="1" t="s">
        <v>35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</row>
    <row r="9" spans="1:9" x14ac:dyDescent="0.25">
      <c r="A9" s="1">
        <f t="shared" si="0"/>
        <v>7</v>
      </c>
      <c r="B9" s="1" t="s">
        <v>12</v>
      </c>
      <c r="C9" s="1" t="s">
        <v>37</v>
      </c>
      <c r="D9" s="1" t="s">
        <v>9</v>
      </c>
      <c r="E9" s="1" t="s">
        <v>13</v>
      </c>
      <c r="F9" s="1" t="s">
        <v>13</v>
      </c>
      <c r="G9" s="1" t="s">
        <v>10</v>
      </c>
      <c r="H9" s="1" t="s">
        <v>1</v>
      </c>
      <c r="I9" s="1" t="s">
        <v>1</v>
      </c>
    </row>
    <row r="10" spans="1:9" x14ac:dyDescent="0.25">
      <c r="A10" s="1">
        <f t="shared" si="0"/>
        <v>8</v>
      </c>
      <c r="B10" s="1" t="s">
        <v>14</v>
      </c>
      <c r="C10" s="1" t="s">
        <v>38</v>
      </c>
      <c r="D10" s="1" t="s">
        <v>5</v>
      </c>
      <c r="E10" s="1" t="s">
        <v>9</v>
      </c>
      <c r="F10" s="1" t="s">
        <v>15</v>
      </c>
      <c r="G10" s="1" t="s">
        <v>15</v>
      </c>
      <c r="H10" s="1" t="s">
        <v>15</v>
      </c>
      <c r="I10" s="1" t="s">
        <v>15</v>
      </c>
    </row>
    <row r="11" spans="1:9" x14ac:dyDescent="0.25">
      <c r="A11" s="1">
        <f t="shared" si="0"/>
        <v>9</v>
      </c>
      <c r="B11" s="1" t="s">
        <v>16</v>
      </c>
      <c r="C11" s="1" t="s">
        <v>37</v>
      </c>
      <c r="D11" s="1" t="s">
        <v>13</v>
      </c>
      <c r="E11" s="1" t="s">
        <v>13</v>
      </c>
      <c r="F11" s="1" t="s">
        <v>10</v>
      </c>
      <c r="G11" s="1" t="s">
        <v>15</v>
      </c>
      <c r="H11" s="1" t="s">
        <v>15</v>
      </c>
      <c r="I11" s="1" t="s">
        <v>15</v>
      </c>
    </row>
    <row r="12" spans="1:9" x14ac:dyDescent="0.25">
      <c r="A12" s="1">
        <f t="shared" si="0"/>
        <v>10</v>
      </c>
      <c r="B12" s="1" t="s">
        <v>17</v>
      </c>
      <c r="C12" s="1" t="s">
        <v>37</v>
      </c>
      <c r="D12" s="1" t="s">
        <v>18</v>
      </c>
      <c r="E12" s="1" t="s">
        <v>18</v>
      </c>
      <c r="F12" s="1" t="s">
        <v>18</v>
      </c>
      <c r="G12" s="1" t="s">
        <v>18</v>
      </c>
      <c r="H12" s="1" t="s">
        <v>13</v>
      </c>
      <c r="I12" s="1" t="s">
        <v>13</v>
      </c>
    </row>
    <row r="13" spans="1:9" x14ac:dyDescent="0.25">
      <c r="A13" s="1">
        <f t="shared" si="0"/>
        <v>11</v>
      </c>
      <c r="B13" s="1" t="s">
        <v>19</v>
      </c>
      <c r="C13" s="1" t="s">
        <v>35</v>
      </c>
      <c r="D13" s="1" t="s">
        <v>9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6</v>
      </c>
    </row>
    <row r="14" spans="1:9" x14ac:dyDescent="0.25">
      <c r="A14" s="1">
        <f t="shared" si="0"/>
        <v>12</v>
      </c>
      <c r="B14" s="1" t="s">
        <v>20</v>
      </c>
      <c r="C14" s="1" t="s">
        <v>35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9" x14ac:dyDescent="0.25">
      <c r="A15" s="1">
        <f t="shared" si="0"/>
        <v>13</v>
      </c>
      <c r="B15" s="1" t="s">
        <v>21</v>
      </c>
      <c r="C15" s="1" t="s">
        <v>37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</row>
    <row r="16" spans="1:9" x14ac:dyDescent="0.25">
      <c r="A16" s="1">
        <f t="shared" si="0"/>
        <v>14</v>
      </c>
      <c r="B16" s="1" t="s">
        <v>22</v>
      </c>
      <c r="C16" s="1" t="s">
        <v>35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6</v>
      </c>
      <c r="I16" s="1" t="s">
        <v>6</v>
      </c>
    </row>
    <row r="17" spans="1:9" x14ac:dyDescent="0.25">
      <c r="A17" s="1">
        <f t="shared" si="0"/>
        <v>15</v>
      </c>
      <c r="B17" s="1" t="s">
        <v>23</v>
      </c>
      <c r="C17" s="1" t="s">
        <v>37</v>
      </c>
      <c r="D17" s="1" t="s">
        <v>13</v>
      </c>
      <c r="E17" s="1" t="s">
        <v>13</v>
      </c>
      <c r="F17" s="1" t="s">
        <v>10</v>
      </c>
      <c r="G17" s="1" t="s">
        <v>6</v>
      </c>
      <c r="H17" s="1" t="s">
        <v>6</v>
      </c>
      <c r="I17" s="1" t="s">
        <v>6</v>
      </c>
    </row>
    <row r="18" spans="1:9" x14ac:dyDescent="0.25">
      <c r="A18" s="1">
        <f t="shared" si="0"/>
        <v>16</v>
      </c>
      <c r="B18" s="1" t="s">
        <v>24</v>
      </c>
      <c r="C18" s="1" t="s">
        <v>37</v>
      </c>
      <c r="D18" s="1" t="s">
        <v>9</v>
      </c>
      <c r="E18" s="1" t="s">
        <v>13</v>
      </c>
      <c r="F18" s="1" t="s">
        <v>13</v>
      </c>
      <c r="G18" s="1" t="s">
        <v>15</v>
      </c>
      <c r="H18" s="1" t="s">
        <v>15</v>
      </c>
      <c r="I18" s="1" t="s">
        <v>15</v>
      </c>
    </row>
    <row r="19" spans="1:9" x14ac:dyDescent="0.25">
      <c r="A19" s="1">
        <f t="shared" si="0"/>
        <v>17</v>
      </c>
      <c r="B19" s="1" t="s">
        <v>25</v>
      </c>
      <c r="C19" s="1" t="s">
        <v>35</v>
      </c>
      <c r="D19" s="1" t="s">
        <v>5</v>
      </c>
      <c r="E19" s="1" t="s">
        <v>9</v>
      </c>
      <c r="F19" s="1" t="s">
        <v>10</v>
      </c>
      <c r="G19" s="1" t="s">
        <v>6</v>
      </c>
      <c r="H19" s="1" t="s">
        <v>6</v>
      </c>
      <c r="I19" s="1" t="s">
        <v>6</v>
      </c>
    </row>
    <row r="20" spans="1:9" x14ac:dyDescent="0.25">
      <c r="A20" s="1">
        <f t="shared" si="0"/>
        <v>18</v>
      </c>
      <c r="B20" s="1" t="s">
        <v>26</v>
      </c>
      <c r="C20" s="1" t="s">
        <v>36</v>
      </c>
      <c r="D20" s="1" t="s">
        <v>6</v>
      </c>
      <c r="E20" s="1" t="s">
        <v>6</v>
      </c>
      <c r="F20" s="1" t="s">
        <v>6</v>
      </c>
      <c r="G20" s="1" t="s">
        <v>6</v>
      </c>
      <c r="H20" s="1" t="s">
        <v>6</v>
      </c>
      <c r="I20" s="1" t="s">
        <v>6</v>
      </c>
    </row>
    <row r="21" spans="1:9" x14ac:dyDescent="0.25">
      <c r="A21" s="1">
        <f t="shared" si="0"/>
        <v>19</v>
      </c>
      <c r="B21" s="1" t="s">
        <v>27</v>
      </c>
      <c r="C21" s="1" t="s">
        <v>36</v>
      </c>
      <c r="D21" s="1" t="s">
        <v>6</v>
      </c>
      <c r="E21" s="1" t="s">
        <v>6</v>
      </c>
      <c r="F21" s="1" t="s">
        <v>6</v>
      </c>
      <c r="G21" s="1" t="s">
        <v>6</v>
      </c>
      <c r="H21" s="1" t="s">
        <v>6</v>
      </c>
      <c r="I21" s="1" t="s">
        <v>6</v>
      </c>
    </row>
  </sheetData>
  <phoneticPr fontId="18" type="noConversion"/>
  <conditionalFormatting sqref="A1:A21">
    <cfRule type="containsText" dxfId="146" priority="8" operator="containsText" text="Farm">
      <formula>NOT(ISERROR(SEARCH("Farm",A1)))</formula>
    </cfRule>
    <cfRule type="containsText" dxfId="145" priority="9" operator="containsText" text="Resource">
      <formula>NOT(ISERROR(SEARCH("Resource",A1)))</formula>
    </cfRule>
    <cfRule type="containsText" dxfId="144" priority="10" operator="containsText" text="Barracks">
      <formula>NOT(ISERROR(SEARCH("Barracks",A1)))</formula>
    </cfRule>
    <cfRule type="containsText" dxfId="143" priority="11" operator="containsText" text="Aviary">
      <formula>NOT(ISERROR(SEARCH("Aviary",A1)))</formula>
    </cfRule>
    <cfRule type="containsText" dxfId="142" priority="12" operator="containsText" text="Quartermaster">
      <formula>NOT(ISERROR(SEARCH("Quartermaster",A1)))</formula>
    </cfRule>
    <cfRule type="cellIs" dxfId="141" priority="13" operator="equal">
      <formula>"M"</formula>
    </cfRule>
    <cfRule type="cellIs" dxfId="140" priority="14" operator="equal">
      <formula>"B"</formula>
    </cfRule>
    <cfRule type="cellIs" dxfId="139" priority="15" operator="equal">
      <formula>"H"</formula>
    </cfRule>
  </conditionalFormatting>
  <conditionalFormatting sqref="C1:C21">
    <cfRule type="containsText" dxfId="138" priority="16" operator="containsText" text="Farm">
      <formula>NOT(ISERROR(SEARCH("Farm",C1)))</formula>
    </cfRule>
    <cfRule type="containsText" dxfId="137" priority="17" operator="containsText" text="Resource">
      <formula>NOT(ISERROR(SEARCH("Resource",C1)))</formula>
    </cfRule>
    <cfRule type="containsText" dxfId="136" priority="18" operator="containsText" text="Barracks">
      <formula>NOT(ISERROR(SEARCH("Barracks",C1)))</formula>
    </cfRule>
    <cfRule type="containsText" dxfId="135" priority="19" operator="containsText" text="Aviary">
      <formula>NOT(ISERROR(SEARCH("Aviary",C1)))</formula>
    </cfRule>
    <cfRule type="containsText" dxfId="134" priority="20" operator="containsText" text="Quartermaster">
      <formula>NOT(ISERROR(SEARCH("Quartermaster",C1)))</formula>
    </cfRule>
    <cfRule type="cellIs" dxfId="133" priority="21" operator="equal">
      <formula>"M"</formula>
    </cfRule>
    <cfRule type="cellIs" dxfId="132" priority="22" operator="equal">
      <formula>"B"</formula>
    </cfRule>
    <cfRule type="cellIs" dxfId="131" priority="23" operator="equal">
      <formula>"H"</formula>
    </cfRule>
  </conditionalFormatting>
  <conditionalFormatting sqref="D2:I21">
    <cfRule type="containsText" dxfId="130" priority="1" operator="containsText" text="Unique">
      <formula>NOT(ISERROR(SEARCH("Unique",D2)))</formula>
    </cfRule>
    <cfRule type="containsText" dxfId="129" priority="2" operator="containsText" text="Marketplace">
      <formula>NOT(ISERROR(SEARCH("Marketplace",D2)))</formula>
    </cfRule>
    <cfRule type="containsText" dxfId="128" priority="3" operator="containsText" text="Farm">
      <formula>NOT(ISERROR(SEARCH("Farm",D2)))</formula>
    </cfRule>
    <cfRule type="containsText" dxfId="127" priority="4" operator="containsText" text="Academy">
      <formula>NOT(ISERROR(SEARCH("Academy",D2)))</formula>
    </cfRule>
    <cfRule type="containsText" dxfId="126" priority="5" operator="containsText" text="Barracks">
      <formula>NOT(ISERROR(SEARCH("Barracks",D2)))</formula>
    </cfRule>
    <cfRule type="containsText" dxfId="125" priority="6" operator="containsText" text="Aviary">
      <formula>NOT(ISERROR(SEARCH("Aviary",D2)))</formula>
    </cfRule>
    <cfRule type="containsText" dxfId="124" priority="7" operator="containsText" text="Quartermaster">
      <formula>NOT(ISERROR(SEARCH("Quartermaster",D2)))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2F46-A952-4FD3-9597-99689B05C00C}">
  <sheetPr codeName="Sheet2"/>
  <dimension ref="A1:O21"/>
  <sheetViews>
    <sheetView workbookViewId="0">
      <selection activeCell="O5" sqref="O5"/>
    </sheetView>
  </sheetViews>
  <sheetFormatPr defaultRowHeight="15" x14ac:dyDescent="0.25"/>
  <cols>
    <col min="1" max="1" width="4.140625" customWidth="1"/>
    <col min="2" max="2" width="17.28515625" customWidth="1"/>
    <col min="3" max="3" width="16.140625" customWidth="1"/>
    <col min="4" max="9" width="15.7109375" customWidth="1"/>
    <col min="12" max="12" width="17.5703125" customWidth="1"/>
    <col min="13" max="13" width="15.7109375" customWidth="1"/>
    <col min="14" max="14" width="16.42578125" customWidth="1"/>
  </cols>
  <sheetData>
    <row r="1" spans="1:15" x14ac:dyDescent="0.25">
      <c r="A1" s="1" t="s">
        <v>39</v>
      </c>
      <c r="B1" s="1" t="s">
        <v>28</v>
      </c>
      <c r="C1" s="1" t="s">
        <v>40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15" x14ac:dyDescent="0.25">
      <c r="A2" s="1">
        <v>0</v>
      </c>
      <c r="B2" s="1" t="s">
        <v>0</v>
      </c>
      <c r="C2" s="1" t="s">
        <v>35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L2" s="3" t="s">
        <v>45</v>
      </c>
      <c r="M2" s="1">
        <f>COUNTIF(D2:I21, "Academy")</f>
        <v>29</v>
      </c>
      <c r="N2" s="3" t="s">
        <v>56</v>
      </c>
      <c r="O2" s="1">
        <f>COUNTIF(D9:I9, "Academy")</f>
        <v>2</v>
      </c>
    </row>
    <row r="3" spans="1:15" x14ac:dyDescent="0.25">
      <c r="A3" s="1">
        <f>A2 + 1</f>
        <v>1</v>
      </c>
      <c r="B3" s="1" t="s">
        <v>2</v>
      </c>
      <c r="C3" s="1" t="s">
        <v>36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L3" s="3" t="s">
        <v>46</v>
      </c>
      <c r="M3" s="1">
        <f>COUNTIF(D2:I21, "Marketplace")</f>
        <v>10</v>
      </c>
      <c r="N3" s="3" t="s">
        <v>57</v>
      </c>
      <c r="O3" s="1">
        <f>COUNTIF(D3:I5, "Academy")</f>
        <v>15</v>
      </c>
    </row>
    <row r="4" spans="1:15" x14ac:dyDescent="0.25">
      <c r="A4" s="1">
        <f t="shared" ref="A4:A21" si="0">A3 + 1</f>
        <v>2</v>
      </c>
      <c r="B4" s="1" t="s">
        <v>3</v>
      </c>
      <c r="C4" s="1" t="s">
        <v>36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L4" s="3" t="s">
        <v>47</v>
      </c>
      <c r="M4" s="1">
        <f>COUNTIF(D2:I21, "Quartermaster")</f>
        <v>6</v>
      </c>
      <c r="N4" s="3" t="s">
        <v>58</v>
      </c>
      <c r="O4" s="1">
        <f>COUNTIF(D2:I2, "Academy") + COUNTIF(D14:I14, "Academy")</f>
        <v>12</v>
      </c>
    </row>
    <row r="5" spans="1:15" x14ac:dyDescent="0.25">
      <c r="A5" s="1">
        <f t="shared" si="0"/>
        <v>3</v>
      </c>
      <c r="B5" s="1" t="s">
        <v>4</v>
      </c>
      <c r="C5" s="1" t="s">
        <v>36</v>
      </c>
      <c r="D5" s="1" t="s">
        <v>5</v>
      </c>
      <c r="E5" s="1" t="s">
        <v>1</v>
      </c>
      <c r="F5" s="1" t="s">
        <v>1</v>
      </c>
      <c r="G5" s="1" t="s">
        <v>1</v>
      </c>
      <c r="H5" s="1" t="s">
        <v>41</v>
      </c>
      <c r="I5" s="1" t="s">
        <v>42</v>
      </c>
      <c r="L5" s="3" t="s">
        <v>48</v>
      </c>
      <c r="M5" s="1">
        <f>COUNTIF(D2:I21, "Aviary")</f>
        <v>5</v>
      </c>
    </row>
    <row r="6" spans="1:15" x14ac:dyDescent="0.25">
      <c r="A6" s="1">
        <f t="shared" si="0"/>
        <v>4</v>
      </c>
      <c r="B6" s="1" t="s">
        <v>7</v>
      </c>
      <c r="C6" s="1" t="s">
        <v>36</v>
      </c>
      <c r="D6" s="1" t="s">
        <v>41</v>
      </c>
      <c r="E6" s="1" t="s">
        <v>42</v>
      </c>
      <c r="F6" s="1" t="s">
        <v>41</v>
      </c>
      <c r="G6" s="1" t="s">
        <v>42</v>
      </c>
      <c r="H6" s="1" t="s">
        <v>41</v>
      </c>
      <c r="I6" s="1" t="s">
        <v>42</v>
      </c>
      <c r="L6" s="3" t="s">
        <v>49</v>
      </c>
      <c r="M6" s="1">
        <f>COUNTIF(D2:I21, "Barracks")</f>
        <v>3</v>
      </c>
    </row>
    <row r="7" spans="1:15" x14ac:dyDescent="0.25">
      <c r="A7" s="1">
        <f t="shared" si="0"/>
        <v>5</v>
      </c>
      <c r="B7" s="1" t="s">
        <v>8</v>
      </c>
      <c r="C7" s="1" t="s">
        <v>36</v>
      </c>
      <c r="D7" s="1" t="s">
        <v>9</v>
      </c>
      <c r="E7" s="1" t="s">
        <v>10</v>
      </c>
      <c r="F7" s="1" t="s">
        <v>41</v>
      </c>
      <c r="G7" s="1" t="s">
        <v>44</v>
      </c>
      <c r="H7" s="1" t="s">
        <v>44</v>
      </c>
      <c r="I7" s="1" t="s">
        <v>44</v>
      </c>
      <c r="L7" s="3" t="s">
        <v>50</v>
      </c>
      <c r="M7" s="1">
        <f>COUNTIF(D2:I21, "Farm")</f>
        <v>10</v>
      </c>
    </row>
    <row r="8" spans="1:15" x14ac:dyDescent="0.25">
      <c r="A8" s="1">
        <f t="shared" si="0"/>
        <v>6</v>
      </c>
      <c r="B8" s="1" t="s">
        <v>11</v>
      </c>
      <c r="C8" s="1" t="s">
        <v>35</v>
      </c>
      <c r="D8" s="1" t="s">
        <v>42</v>
      </c>
      <c r="E8" s="1" t="s">
        <v>41</v>
      </c>
      <c r="F8" s="1" t="s">
        <v>43</v>
      </c>
      <c r="G8" s="1" t="s">
        <v>43</v>
      </c>
      <c r="H8" s="1" t="s">
        <v>43</v>
      </c>
      <c r="I8" s="1" t="s">
        <v>43</v>
      </c>
      <c r="L8" s="3" t="s">
        <v>51</v>
      </c>
      <c r="M8" s="1">
        <f>COUNTIF(D2:I21, "Lumberyard")</f>
        <v>15</v>
      </c>
    </row>
    <row r="9" spans="1:15" x14ac:dyDescent="0.25">
      <c r="A9" s="1">
        <f t="shared" si="0"/>
        <v>7</v>
      </c>
      <c r="B9" s="1" t="s">
        <v>12</v>
      </c>
      <c r="C9" s="1" t="s">
        <v>37</v>
      </c>
      <c r="D9" s="1" t="s">
        <v>9</v>
      </c>
      <c r="E9" s="1" t="s">
        <v>13</v>
      </c>
      <c r="F9" s="1" t="s">
        <v>13</v>
      </c>
      <c r="G9" s="1" t="s">
        <v>10</v>
      </c>
      <c r="H9" s="1" t="s">
        <v>1</v>
      </c>
      <c r="I9" s="1" t="s">
        <v>1</v>
      </c>
      <c r="L9" s="3" t="s">
        <v>52</v>
      </c>
      <c r="M9" s="1">
        <f>COUNTIF(D2:I21, "Quarry")</f>
        <v>15</v>
      </c>
    </row>
    <row r="10" spans="1:15" x14ac:dyDescent="0.25">
      <c r="A10" s="1">
        <f t="shared" si="0"/>
        <v>8</v>
      </c>
      <c r="B10" s="1" t="s">
        <v>14</v>
      </c>
      <c r="C10" s="1" t="s">
        <v>38</v>
      </c>
      <c r="D10" s="1" t="s">
        <v>5</v>
      </c>
      <c r="E10" s="1" t="s">
        <v>9</v>
      </c>
      <c r="F10" s="1" t="s">
        <v>15</v>
      </c>
      <c r="G10" s="1" t="s">
        <v>15</v>
      </c>
      <c r="H10" s="1" t="s">
        <v>15</v>
      </c>
      <c r="I10" s="1" t="s">
        <v>15</v>
      </c>
      <c r="L10" s="3" t="s">
        <v>53</v>
      </c>
      <c r="M10" s="1">
        <f>COUNTIF(D2:I21, "Forge")</f>
        <v>15</v>
      </c>
    </row>
    <row r="11" spans="1:15" x14ac:dyDescent="0.25">
      <c r="A11" s="1">
        <f t="shared" si="0"/>
        <v>9</v>
      </c>
      <c r="B11" s="1" t="s">
        <v>16</v>
      </c>
      <c r="C11" s="1" t="s">
        <v>37</v>
      </c>
      <c r="D11" s="1" t="s">
        <v>13</v>
      </c>
      <c r="E11" s="1" t="s">
        <v>13</v>
      </c>
      <c r="F11" s="1" t="s">
        <v>10</v>
      </c>
      <c r="G11" s="1" t="s">
        <v>15</v>
      </c>
      <c r="H11" s="1" t="s">
        <v>15</v>
      </c>
      <c r="I11" s="1" t="s">
        <v>15</v>
      </c>
      <c r="L11" s="3" t="s">
        <v>54</v>
      </c>
      <c r="M11" s="1">
        <f>COUNTIF(D2:I21, "Petricite Mill")</f>
        <v>8</v>
      </c>
    </row>
    <row r="12" spans="1:15" x14ac:dyDescent="0.25">
      <c r="A12" s="1">
        <f t="shared" si="0"/>
        <v>10</v>
      </c>
      <c r="B12" s="1" t="s">
        <v>17</v>
      </c>
      <c r="C12" s="1" t="s">
        <v>37</v>
      </c>
      <c r="D12" s="1" t="s">
        <v>18</v>
      </c>
      <c r="E12" s="1" t="s">
        <v>18</v>
      </c>
      <c r="F12" s="1" t="s">
        <v>18</v>
      </c>
      <c r="G12" s="1" t="s">
        <v>18</v>
      </c>
      <c r="H12" s="1" t="s">
        <v>13</v>
      </c>
      <c r="I12" s="1" t="s">
        <v>13</v>
      </c>
      <c r="L12" s="4" t="s">
        <v>55</v>
      </c>
      <c r="M12" s="1">
        <f>COUNTIF(D2:I21, "Resource")</f>
        <v>0</v>
      </c>
    </row>
    <row r="13" spans="1:15" x14ac:dyDescent="0.25">
      <c r="A13" s="1">
        <f t="shared" si="0"/>
        <v>11</v>
      </c>
      <c r="B13" s="1" t="s">
        <v>19</v>
      </c>
      <c r="C13" s="1" t="s">
        <v>35</v>
      </c>
      <c r="D13" s="1" t="s">
        <v>9</v>
      </c>
      <c r="E13" s="1" t="s">
        <v>42</v>
      </c>
      <c r="F13" s="1" t="s">
        <v>41</v>
      </c>
      <c r="G13" s="1" t="s">
        <v>41</v>
      </c>
      <c r="H13" s="1" t="s">
        <v>43</v>
      </c>
      <c r="I13" s="1" t="s">
        <v>43</v>
      </c>
    </row>
    <row r="14" spans="1:15" x14ac:dyDescent="0.25">
      <c r="A14" s="1">
        <f t="shared" si="0"/>
        <v>12</v>
      </c>
      <c r="B14" s="1" t="s">
        <v>20</v>
      </c>
      <c r="C14" s="1" t="s">
        <v>35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15" x14ac:dyDescent="0.25">
      <c r="A15" s="1">
        <f t="shared" si="0"/>
        <v>13</v>
      </c>
      <c r="B15" s="1" t="s">
        <v>21</v>
      </c>
      <c r="C15" s="1" t="s">
        <v>37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</row>
    <row r="16" spans="1:15" x14ac:dyDescent="0.25">
      <c r="A16" s="1">
        <f t="shared" si="0"/>
        <v>14</v>
      </c>
      <c r="B16" s="1" t="s">
        <v>22</v>
      </c>
      <c r="C16" s="1" t="s">
        <v>35</v>
      </c>
      <c r="D16" s="1" t="s">
        <v>42</v>
      </c>
      <c r="E16" s="1" t="s">
        <v>44</v>
      </c>
      <c r="F16" s="1" t="s">
        <v>44</v>
      </c>
      <c r="G16" s="1" t="s">
        <v>44</v>
      </c>
      <c r="H16" s="1" t="s">
        <v>44</v>
      </c>
      <c r="I16" s="1" t="s">
        <v>44</v>
      </c>
    </row>
    <row r="17" spans="1:9" x14ac:dyDescent="0.25">
      <c r="A17" s="1">
        <f t="shared" si="0"/>
        <v>15</v>
      </c>
      <c r="B17" s="1" t="s">
        <v>23</v>
      </c>
      <c r="C17" s="1" t="s">
        <v>37</v>
      </c>
      <c r="D17" s="1" t="s">
        <v>13</v>
      </c>
      <c r="E17" s="1" t="s">
        <v>13</v>
      </c>
      <c r="F17" s="1" t="s">
        <v>10</v>
      </c>
      <c r="G17" s="1" t="s">
        <v>43</v>
      </c>
      <c r="H17" s="1" t="s">
        <v>43</v>
      </c>
      <c r="I17" s="1" t="s">
        <v>43</v>
      </c>
    </row>
    <row r="18" spans="1:9" x14ac:dyDescent="0.25">
      <c r="A18" s="1">
        <f t="shared" si="0"/>
        <v>16</v>
      </c>
      <c r="B18" s="1" t="s">
        <v>24</v>
      </c>
      <c r="C18" s="1" t="s">
        <v>37</v>
      </c>
      <c r="D18" s="1" t="s">
        <v>9</v>
      </c>
      <c r="E18" s="1" t="s">
        <v>13</v>
      </c>
      <c r="F18" s="1" t="s">
        <v>13</v>
      </c>
      <c r="G18" s="1" t="s">
        <v>15</v>
      </c>
      <c r="H18" s="1" t="s">
        <v>15</v>
      </c>
      <c r="I18" s="1" t="s">
        <v>15</v>
      </c>
    </row>
    <row r="19" spans="1:9" x14ac:dyDescent="0.25">
      <c r="A19" s="1">
        <f t="shared" si="0"/>
        <v>17</v>
      </c>
      <c r="B19" s="1" t="s">
        <v>25</v>
      </c>
      <c r="C19" s="1" t="s">
        <v>35</v>
      </c>
      <c r="D19" s="1" t="s">
        <v>5</v>
      </c>
      <c r="E19" s="1" t="s">
        <v>9</v>
      </c>
      <c r="F19" s="1" t="s">
        <v>10</v>
      </c>
      <c r="G19" s="1" t="s">
        <v>42</v>
      </c>
      <c r="H19" s="1" t="s">
        <v>41</v>
      </c>
      <c r="I19" s="1" t="s">
        <v>42</v>
      </c>
    </row>
    <row r="20" spans="1:9" x14ac:dyDescent="0.25">
      <c r="A20" s="1">
        <f t="shared" si="0"/>
        <v>18</v>
      </c>
      <c r="B20" s="1" t="s">
        <v>26</v>
      </c>
      <c r="C20" s="1" t="s">
        <v>36</v>
      </c>
      <c r="D20" s="1" t="s">
        <v>41</v>
      </c>
      <c r="E20" s="1" t="s">
        <v>42</v>
      </c>
      <c r="F20" s="1" t="s">
        <v>41</v>
      </c>
      <c r="G20" s="1" t="s">
        <v>42</v>
      </c>
      <c r="H20" s="1" t="s">
        <v>41</v>
      </c>
      <c r="I20" s="1" t="s">
        <v>42</v>
      </c>
    </row>
    <row r="21" spans="1:9" x14ac:dyDescent="0.25">
      <c r="A21" s="1">
        <f t="shared" si="0"/>
        <v>19</v>
      </c>
      <c r="B21" s="1" t="s">
        <v>27</v>
      </c>
      <c r="C21" s="1" t="s">
        <v>36</v>
      </c>
      <c r="D21" s="1" t="s">
        <v>41</v>
      </c>
      <c r="E21" s="1" t="s">
        <v>42</v>
      </c>
      <c r="F21" s="1" t="s">
        <v>41</v>
      </c>
      <c r="G21" s="1" t="s">
        <v>42</v>
      </c>
      <c r="H21" s="1" t="s">
        <v>41</v>
      </c>
      <c r="I21" s="1" t="s">
        <v>42</v>
      </c>
    </row>
  </sheetData>
  <conditionalFormatting sqref="A1:A21">
    <cfRule type="containsText" dxfId="123" priority="23" operator="containsText" text="Farm">
      <formula>NOT(ISERROR(SEARCH("Farm",A1)))</formula>
    </cfRule>
    <cfRule type="containsText" dxfId="122" priority="24" operator="containsText" text="Resource">
      <formula>NOT(ISERROR(SEARCH("Resource",A1)))</formula>
    </cfRule>
    <cfRule type="containsText" dxfId="121" priority="25" operator="containsText" text="Barracks">
      <formula>NOT(ISERROR(SEARCH("Barracks",A1)))</formula>
    </cfRule>
    <cfRule type="containsText" dxfId="120" priority="26" operator="containsText" text="Aviary">
      <formula>NOT(ISERROR(SEARCH("Aviary",A1)))</formula>
    </cfRule>
    <cfRule type="containsText" dxfId="119" priority="27" operator="containsText" text="Quartermaster">
      <formula>NOT(ISERROR(SEARCH("Quartermaster",A1)))</formula>
    </cfRule>
    <cfRule type="cellIs" dxfId="118" priority="28" operator="equal">
      <formula>"M"</formula>
    </cfRule>
    <cfRule type="cellIs" dxfId="117" priority="29" operator="equal">
      <formula>"B"</formula>
    </cfRule>
    <cfRule type="cellIs" dxfId="116" priority="30" operator="equal">
      <formula>"H"</formula>
    </cfRule>
  </conditionalFormatting>
  <conditionalFormatting sqref="C1:C21">
    <cfRule type="containsText" dxfId="115" priority="31" operator="containsText" text="Farm">
      <formula>NOT(ISERROR(SEARCH("Farm",C1)))</formula>
    </cfRule>
    <cfRule type="containsText" dxfId="114" priority="32" operator="containsText" text="Resource">
      <formula>NOT(ISERROR(SEARCH("Resource",C1)))</formula>
    </cfRule>
    <cfRule type="containsText" dxfId="113" priority="33" operator="containsText" text="Barracks">
      <formula>NOT(ISERROR(SEARCH("Barracks",C1)))</formula>
    </cfRule>
    <cfRule type="containsText" dxfId="112" priority="34" operator="containsText" text="Aviary">
      <formula>NOT(ISERROR(SEARCH("Aviary",C1)))</formula>
    </cfRule>
    <cfRule type="containsText" dxfId="111" priority="35" operator="containsText" text="Quartermaster">
      <formula>NOT(ISERROR(SEARCH("Quartermaster",C1)))</formula>
    </cfRule>
    <cfRule type="cellIs" dxfId="110" priority="36" operator="equal">
      <formula>"M"</formula>
    </cfRule>
    <cfRule type="cellIs" dxfId="109" priority="37" operator="equal">
      <formula>"B"</formula>
    </cfRule>
    <cfRule type="cellIs" dxfId="108" priority="38" operator="equal">
      <formula>"H"</formula>
    </cfRule>
  </conditionalFormatting>
  <conditionalFormatting sqref="L2:L12 C2:I21">
    <cfRule type="containsText" dxfId="107" priority="13" operator="containsText" text="Petricite Mill">
      <formula>NOT(ISERROR(SEARCH("Petricite Mill",C2)))</formula>
    </cfRule>
  </conditionalFormatting>
  <conditionalFormatting sqref="L2:L12 D2:I21">
    <cfRule type="containsText" dxfId="106" priority="12" operator="containsText" text="Lumberyard">
      <formula>NOT(ISERROR(SEARCH("Lumberyard",D2)))</formula>
    </cfRule>
    <cfRule type="containsText" dxfId="105" priority="14" operator="containsText" text="Forge">
      <formula>NOT(ISERROR(SEARCH("Forge",D2)))</formula>
    </cfRule>
    <cfRule type="containsText" dxfId="104" priority="15" operator="containsText" text="Quarry">
      <formula>NOT(ISERROR(SEARCH("Quarry",D2)))</formula>
    </cfRule>
    <cfRule type="containsText" dxfId="103" priority="16" operator="containsText" text="Unique">
      <formula>NOT(ISERROR(SEARCH("Unique",D2)))</formula>
    </cfRule>
    <cfRule type="containsText" dxfId="102" priority="17" operator="containsText" text="Marketplace">
      <formula>NOT(ISERROR(SEARCH("Marketplace",D2)))</formula>
    </cfRule>
    <cfRule type="containsText" dxfId="101" priority="18" operator="containsText" text="Farm">
      <formula>NOT(ISERROR(SEARCH("Farm",D2)))</formula>
    </cfRule>
    <cfRule type="containsText" dxfId="100" priority="19" operator="containsText" text="Academy">
      <formula>NOT(ISERROR(SEARCH("Academy",D2)))</formula>
    </cfRule>
    <cfRule type="containsText" dxfId="99" priority="20" operator="containsText" text="Barracks">
      <formula>NOT(ISERROR(SEARCH("Barracks",D2)))</formula>
    </cfRule>
    <cfRule type="containsText" dxfId="98" priority="21" operator="containsText" text="Aviary">
      <formula>NOT(ISERROR(SEARCH("Aviary",D2)))</formula>
    </cfRule>
    <cfRule type="containsText" dxfId="97" priority="22" operator="containsText" text="Quartermaster">
      <formula>NOT(ISERROR(SEARCH("Quartermaster",D2)))</formula>
    </cfRule>
  </conditionalFormatting>
  <conditionalFormatting sqref="N2:N4">
    <cfRule type="containsText" dxfId="96" priority="1" operator="containsText" text="Lumberyard">
      <formula>NOT(ISERROR(SEARCH("Lumberyard",N2)))</formula>
    </cfRule>
    <cfRule type="containsText" dxfId="95" priority="2" operator="containsText" text="Petricite Mill">
      <formula>NOT(ISERROR(SEARCH("Petricite Mill",N2)))</formula>
    </cfRule>
    <cfRule type="containsText" dxfId="94" priority="3" operator="containsText" text="Forge">
      <formula>NOT(ISERROR(SEARCH("Forge",N2)))</formula>
    </cfRule>
    <cfRule type="containsText" dxfId="93" priority="4" operator="containsText" text="Quarry">
      <formula>NOT(ISERROR(SEARCH("Quarry",N2)))</formula>
    </cfRule>
    <cfRule type="containsText" dxfId="92" priority="5" operator="containsText" text="Unique">
      <formula>NOT(ISERROR(SEARCH("Unique",N2)))</formula>
    </cfRule>
    <cfRule type="containsText" dxfId="91" priority="6" operator="containsText" text="Marketplace">
      <formula>NOT(ISERROR(SEARCH("Marketplace",N2)))</formula>
    </cfRule>
    <cfRule type="containsText" dxfId="90" priority="7" operator="containsText" text="Farm">
      <formula>NOT(ISERROR(SEARCH("Farm",N2)))</formula>
    </cfRule>
    <cfRule type="containsText" dxfId="89" priority="8" operator="containsText" text="Academy">
      <formula>NOT(ISERROR(SEARCH("Academy",N2)))</formula>
    </cfRule>
    <cfRule type="containsText" dxfId="88" priority="9" operator="containsText" text="Barracks">
      <formula>NOT(ISERROR(SEARCH("Barracks",N2)))</formula>
    </cfRule>
    <cfRule type="containsText" dxfId="87" priority="10" operator="containsText" text="Aviary">
      <formula>NOT(ISERROR(SEARCH("Aviary",N2)))</formula>
    </cfRule>
    <cfRule type="containsText" dxfId="86" priority="11" operator="containsText" text="Quartermaster">
      <formula>NOT(ISERROR(SEARCH("Quartermaster",N2)))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CCB1-09EA-4B1D-974B-BE766B762E1A}">
  <sheetPr codeName="Sheet3"/>
  <dimension ref="A1:P22"/>
  <sheetViews>
    <sheetView workbookViewId="0">
      <selection activeCell="K25" sqref="K25"/>
    </sheetView>
  </sheetViews>
  <sheetFormatPr defaultRowHeight="15" x14ac:dyDescent="0.25"/>
  <cols>
    <col min="1" max="1" width="4.140625" customWidth="1"/>
    <col min="2" max="2" width="17.28515625" customWidth="1"/>
    <col min="3" max="3" width="16.140625" customWidth="1"/>
    <col min="4" max="9" width="15.7109375" customWidth="1"/>
    <col min="12" max="12" width="17.5703125" customWidth="1"/>
    <col min="13" max="13" width="15.7109375" customWidth="1"/>
    <col min="14" max="14" width="16.42578125" customWidth="1"/>
  </cols>
  <sheetData>
    <row r="1" spans="1:16" x14ac:dyDescent="0.25">
      <c r="A1" s="1" t="s">
        <v>39</v>
      </c>
      <c r="B1" s="1" t="s">
        <v>28</v>
      </c>
      <c r="C1" s="1" t="s">
        <v>40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P1" s="1" t="s">
        <v>61</v>
      </c>
    </row>
    <row r="2" spans="1:16" x14ac:dyDescent="0.25">
      <c r="A2" s="1">
        <v>0</v>
      </c>
      <c r="B2" s="1" t="s">
        <v>0</v>
      </c>
      <c r="C2" s="1" t="s">
        <v>35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L2" s="3" t="s">
        <v>45</v>
      </c>
      <c r="M2" s="1">
        <f>COUNTIF(D2:I21, "Academy")</f>
        <v>28</v>
      </c>
      <c r="N2" s="3" t="s">
        <v>56</v>
      </c>
      <c r="O2" s="1">
        <f>COUNTIF(D9:I9, "Academy")</f>
        <v>0</v>
      </c>
      <c r="P2" s="1">
        <f>O2/10</f>
        <v>0</v>
      </c>
    </row>
    <row r="3" spans="1:16" x14ac:dyDescent="0.25">
      <c r="A3" s="1">
        <f>A2 + 1</f>
        <v>1</v>
      </c>
      <c r="B3" s="1" t="s">
        <v>2</v>
      </c>
      <c r="C3" s="1" t="s">
        <v>36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L3" s="3" t="s">
        <v>46</v>
      </c>
      <c r="M3" s="1">
        <f>COUNTIF(D2:I21, "Marketplace")</f>
        <v>11</v>
      </c>
      <c r="N3" s="6" t="s">
        <v>57</v>
      </c>
      <c r="O3" s="1">
        <f>COUNTIF(D3:I5, "Academy")</f>
        <v>16</v>
      </c>
      <c r="P3" s="1">
        <f t="shared" ref="P3:P4" si="0">O3/10</f>
        <v>1.6</v>
      </c>
    </row>
    <row r="4" spans="1:16" x14ac:dyDescent="0.25">
      <c r="A4" s="1">
        <f t="shared" ref="A4:A21" si="1">A3 + 1</f>
        <v>2</v>
      </c>
      <c r="B4" s="1" t="s">
        <v>3</v>
      </c>
      <c r="C4" s="1" t="s">
        <v>36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L4" s="3" t="s">
        <v>47</v>
      </c>
      <c r="M4" s="1">
        <f>COUNTIF(D2:I21, "Quartermaster")</f>
        <v>6</v>
      </c>
      <c r="N4" s="7" t="s">
        <v>62</v>
      </c>
      <c r="O4" s="1">
        <f>COUNTIF(D2:I2, "Academy") + COUNTIF(D14:I14, "Academy")</f>
        <v>12</v>
      </c>
      <c r="P4" s="1">
        <f t="shared" si="0"/>
        <v>1.2</v>
      </c>
    </row>
    <row r="5" spans="1:16" x14ac:dyDescent="0.25">
      <c r="A5" s="1">
        <f t="shared" si="1"/>
        <v>3</v>
      </c>
      <c r="B5" s="1" t="s">
        <v>4</v>
      </c>
      <c r="C5" s="1" t="s">
        <v>36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6</v>
      </c>
      <c r="I5" s="1" t="s">
        <v>6</v>
      </c>
      <c r="L5" s="3" t="s">
        <v>48</v>
      </c>
      <c r="M5" s="1">
        <f>COUNTIF(D2:I21, "Aviary")</f>
        <v>5</v>
      </c>
      <c r="N5" s="5" t="s">
        <v>60</v>
      </c>
      <c r="O5" s="1">
        <f>SUM(O2:O4)</f>
        <v>28</v>
      </c>
    </row>
    <row r="6" spans="1:16" x14ac:dyDescent="0.25">
      <c r="A6" s="1">
        <f t="shared" si="1"/>
        <v>4</v>
      </c>
      <c r="B6" s="1" t="s">
        <v>7</v>
      </c>
      <c r="C6" s="1" t="s">
        <v>36</v>
      </c>
      <c r="D6" s="1" t="s">
        <v>6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L6" s="3" t="s">
        <v>49</v>
      </c>
      <c r="M6" s="1">
        <f>COUNTIF(D2:I21, "Barracks")</f>
        <v>3</v>
      </c>
    </row>
    <row r="7" spans="1:16" x14ac:dyDescent="0.25">
      <c r="A7" s="1">
        <f t="shared" si="1"/>
        <v>5</v>
      </c>
      <c r="B7" s="1" t="s">
        <v>8</v>
      </c>
      <c r="C7" s="1" t="s">
        <v>36</v>
      </c>
      <c r="D7" s="1" t="s">
        <v>9</v>
      </c>
      <c r="E7" s="1" t="s">
        <v>10</v>
      </c>
      <c r="F7" s="1" t="s">
        <v>6</v>
      </c>
      <c r="G7" s="1" t="s">
        <v>6</v>
      </c>
      <c r="H7" s="1" t="s">
        <v>6</v>
      </c>
      <c r="I7" s="1" t="s">
        <v>6</v>
      </c>
      <c r="L7" s="3" t="s">
        <v>50</v>
      </c>
      <c r="M7" s="1">
        <f>COUNTIF(D2:I21, "Farm")</f>
        <v>10</v>
      </c>
    </row>
    <row r="8" spans="1:16" x14ac:dyDescent="0.25">
      <c r="A8" s="1">
        <f t="shared" si="1"/>
        <v>6</v>
      </c>
      <c r="B8" s="1" t="s">
        <v>11</v>
      </c>
      <c r="C8" s="1" t="s">
        <v>35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L8" s="3" t="s">
        <v>51</v>
      </c>
      <c r="M8" s="1">
        <f>COUNTIF(D2:I21, "Lumberyard")</f>
        <v>0</v>
      </c>
    </row>
    <row r="9" spans="1:16" x14ac:dyDescent="0.25">
      <c r="A9" s="1">
        <f t="shared" si="1"/>
        <v>7</v>
      </c>
      <c r="B9" s="1" t="s">
        <v>12</v>
      </c>
      <c r="C9" s="1" t="s">
        <v>37</v>
      </c>
      <c r="D9" s="1" t="s">
        <v>9</v>
      </c>
      <c r="E9" s="1" t="s">
        <v>10</v>
      </c>
      <c r="F9" s="1" t="s">
        <v>5</v>
      </c>
      <c r="G9" s="1" t="s">
        <v>13</v>
      </c>
      <c r="H9" s="1" t="s">
        <v>13</v>
      </c>
      <c r="I9" s="1" t="s">
        <v>18</v>
      </c>
      <c r="L9" s="3" t="s">
        <v>52</v>
      </c>
      <c r="M9" s="1">
        <f>COUNTIF(D2:I21, "Quarry")</f>
        <v>0</v>
      </c>
    </row>
    <row r="10" spans="1:16" x14ac:dyDescent="0.25">
      <c r="A10" s="1">
        <f t="shared" si="1"/>
        <v>8</v>
      </c>
      <c r="B10" s="1" t="s">
        <v>14</v>
      </c>
      <c r="C10" s="1" t="s">
        <v>38</v>
      </c>
      <c r="D10" s="1" t="s">
        <v>5</v>
      </c>
      <c r="E10" s="1" t="s">
        <v>9</v>
      </c>
      <c r="F10" s="1" t="s">
        <v>15</v>
      </c>
      <c r="G10" s="1" t="s">
        <v>15</v>
      </c>
      <c r="H10" s="1" t="s">
        <v>15</v>
      </c>
      <c r="I10" s="1" t="s">
        <v>15</v>
      </c>
      <c r="L10" s="3" t="s">
        <v>53</v>
      </c>
      <c r="M10" s="1">
        <f>COUNTIF(D2:I21, "Forge")</f>
        <v>0</v>
      </c>
    </row>
    <row r="11" spans="1:16" x14ac:dyDescent="0.25">
      <c r="A11" s="1">
        <f t="shared" si="1"/>
        <v>9</v>
      </c>
      <c r="B11" s="1" t="s">
        <v>16</v>
      </c>
      <c r="C11" s="1" t="s">
        <v>37</v>
      </c>
      <c r="D11" s="1" t="s">
        <v>10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L11" s="3" t="s">
        <v>54</v>
      </c>
      <c r="M11" s="1">
        <f>COUNTIF(D2:I21, "Petricite Mill")</f>
        <v>0</v>
      </c>
    </row>
    <row r="12" spans="1:16" x14ac:dyDescent="0.25">
      <c r="A12" s="1">
        <f t="shared" si="1"/>
        <v>10</v>
      </c>
      <c r="B12" s="1" t="s">
        <v>17</v>
      </c>
      <c r="C12" s="1" t="s">
        <v>37</v>
      </c>
      <c r="D12" s="1" t="s">
        <v>13</v>
      </c>
      <c r="E12" s="1" t="s">
        <v>13</v>
      </c>
      <c r="F12" s="1" t="s">
        <v>6</v>
      </c>
      <c r="G12" s="1" t="s">
        <v>6</v>
      </c>
      <c r="H12" s="1" t="s">
        <v>6</v>
      </c>
      <c r="I12" s="1" t="s">
        <v>6</v>
      </c>
      <c r="L12" s="4" t="s">
        <v>55</v>
      </c>
      <c r="M12" s="1">
        <f>COUNTIF(D2:I21, "Resource")</f>
        <v>53</v>
      </c>
    </row>
    <row r="13" spans="1:16" x14ac:dyDescent="0.25">
      <c r="A13" s="1">
        <f t="shared" si="1"/>
        <v>11</v>
      </c>
      <c r="B13" s="1" t="s">
        <v>19</v>
      </c>
      <c r="C13" s="1" t="s">
        <v>35</v>
      </c>
      <c r="D13" s="1" t="s">
        <v>9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6</v>
      </c>
      <c r="L13" s="3" t="s">
        <v>59</v>
      </c>
      <c r="M13" s="1">
        <f>COUNTIF(D2:I21, "Unique")</f>
        <v>4</v>
      </c>
    </row>
    <row r="14" spans="1:16" x14ac:dyDescent="0.25">
      <c r="A14" s="1">
        <f t="shared" si="1"/>
        <v>12</v>
      </c>
      <c r="B14" s="1" t="s">
        <v>20</v>
      </c>
      <c r="C14" s="1" t="s">
        <v>35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L14" s="5" t="s">
        <v>60</v>
      </c>
      <c r="M14" s="1">
        <f>SUM(M2:M13)</f>
        <v>120</v>
      </c>
    </row>
    <row r="15" spans="1:16" x14ac:dyDescent="0.25">
      <c r="A15" s="1">
        <f t="shared" si="1"/>
        <v>13</v>
      </c>
      <c r="B15" s="1" t="s">
        <v>21</v>
      </c>
      <c r="C15" s="1" t="s">
        <v>37</v>
      </c>
      <c r="D15" s="1" t="s">
        <v>13</v>
      </c>
      <c r="E15" s="1" t="s">
        <v>13</v>
      </c>
      <c r="F15" s="1" t="s">
        <v>6</v>
      </c>
      <c r="G15" s="1" t="s">
        <v>6</v>
      </c>
      <c r="H15" s="1" t="s">
        <v>6</v>
      </c>
      <c r="I15" s="1" t="s">
        <v>6</v>
      </c>
    </row>
    <row r="16" spans="1:16" x14ac:dyDescent="0.25">
      <c r="A16" s="1">
        <f t="shared" si="1"/>
        <v>14</v>
      </c>
      <c r="B16" s="1" t="s">
        <v>22</v>
      </c>
      <c r="C16" s="1" t="s">
        <v>35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6</v>
      </c>
      <c r="I16" s="1" t="s">
        <v>6</v>
      </c>
    </row>
    <row r="17" spans="1:14" x14ac:dyDescent="0.25">
      <c r="A17" s="1">
        <f t="shared" si="1"/>
        <v>15</v>
      </c>
      <c r="B17" s="1" t="s">
        <v>23</v>
      </c>
      <c r="C17" s="1" t="s">
        <v>37</v>
      </c>
      <c r="D17" s="1" t="s">
        <v>10</v>
      </c>
      <c r="E17" s="1" t="s">
        <v>13</v>
      </c>
      <c r="F17" s="1" t="s">
        <v>13</v>
      </c>
      <c r="G17" s="1" t="s">
        <v>18</v>
      </c>
      <c r="H17" s="1" t="s">
        <v>18</v>
      </c>
      <c r="I17" s="1" t="s">
        <v>18</v>
      </c>
    </row>
    <row r="18" spans="1:14" x14ac:dyDescent="0.25">
      <c r="A18" s="1">
        <f t="shared" si="1"/>
        <v>16</v>
      </c>
      <c r="B18" s="1" t="s">
        <v>24</v>
      </c>
      <c r="C18" s="1" t="s">
        <v>37</v>
      </c>
      <c r="D18" s="1" t="s">
        <v>9</v>
      </c>
      <c r="E18" s="1" t="s">
        <v>5</v>
      </c>
      <c r="F18" s="1" t="s">
        <v>13</v>
      </c>
      <c r="G18" s="1" t="s">
        <v>13</v>
      </c>
      <c r="H18" s="1" t="s">
        <v>15</v>
      </c>
      <c r="I18" s="1" t="s">
        <v>15</v>
      </c>
      <c r="L18" s="9" t="s">
        <v>63</v>
      </c>
      <c r="M18" s="9"/>
      <c r="N18" s="1">
        <v>13650</v>
      </c>
    </row>
    <row r="19" spans="1:14" x14ac:dyDescent="0.25">
      <c r="A19" s="1">
        <f t="shared" si="1"/>
        <v>17</v>
      </c>
      <c r="B19" s="1" t="s">
        <v>25</v>
      </c>
      <c r="C19" s="1" t="s">
        <v>35</v>
      </c>
      <c r="D19" s="1" t="s">
        <v>9</v>
      </c>
      <c r="E19" s="1" t="s">
        <v>10</v>
      </c>
      <c r="F19" s="1" t="s">
        <v>6</v>
      </c>
      <c r="G19" s="1" t="s">
        <v>6</v>
      </c>
      <c r="H19" s="1" t="s">
        <v>6</v>
      </c>
      <c r="I19" s="1" t="s">
        <v>6</v>
      </c>
      <c r="L19" s="9" t="s">
        <v>64</v>
      </c>
      <c r="M19" s="9"/>
      <c r="N19" s="1">
        <f>M8+M9+M10+M11+M12</f>
        <v>53</v>
      </c>
    </row>
    <row r="20" spans="1:14" x14ac:dyDescent="0.25">
      <c r="A20" s="1">
        <f t="shared" si="1"/>
        <v>18</v>
      </c>
      <c r="B20" s="1" t="s">
        <v>26</v>
      </c>
      <c r="C20" s="1" t="s">
        <v>36</v>
      </c>
      <c r="D20" s="1" t="s">
        <v>6</v>
      </c>
      <c r="E20" s="1" t="s">
        <v>6</v>
      </c>
      <c r="F20" s="1" t="s">
        <v>6</v>
      </c>
      <c r="G20" s="1" t="s">
        <v>6</v>
      </c>
      <c r="H20" s="1" t="s">
        <v>6</v>
      </c>
      <c r="I20" s="1" t="s">
        <v>6</v>
      </c>
      <c r="L20" s="9" t="s">
        <v>65</v>
      </c>
      <c r="M20" s="9"/>
      <c r="N20" s="1">
        <f>M2+M3</f>
        <v>39</v>
      </c>
    </row>
    <row r="21" spans="1:14" x14ac:dyDescent="0.25">
      <c r="A21" s="1">
        <f t="shared" si="1"/>
        <v>19</v>
      </c>
      <c r="B21" s="1" t="s">
        <v>27</v>
      </c>
      <c r="C21" s="1" t="s">
        <v>36</v>
      </c>
      <c r="D21" s="1" t="s">
        <v>6</v>
      </c>
      <c r="E21" s="1" t="s">
        <v>6</v>
      </c>
      <c r="F21" s="1" t="s">
        <v>6</v>
      </c>
      <c r="G21" s="1" t="s">
        <v>6</v>
      </c>
      <c r="H21" s="1" t="s">
        <v>6</v>
      </c>
      <c r="I21" s="1" t="s">
        <v>6</v>
      </c>
      <c r="L21" s="9" t="s">
        <v>66</v>
      </c>
      <c r="M21" s="9"/>
      <c r="N21" s="1">
        <f>N19+N20</f>
        <v>92</v>
      </c>
    </row>
    <row r="22" spans="1:14" x14ac:dyDescent="0.25">
      <c r="L22" s="10" t="s">
        <v>67</v>
      </c>
      <c r="M22" s="10"/>
      <c r="N22" s="1">
        <f>ROUND(N18/(100*N21)%, 3)</f>
        <v>148.37</v>
      </c>
    </row>
  </sheetData>
  <mergeCells count="5">
    <mergeCell ref="L19:M19"/>
    <mergeCell ref="L20:M20"/>
    <mergeCell ref="L18:M18"/>
    <mergeCell ref="L21:M21"/>
    <mergeCell ref="L22:M22"/>
  </mergeCells>
  <conditionalFormatting sqref="A1:A21">
    <cfRule type="containsText" dxfId="85" priority="43" operator="containsText" text="Farm">
      <formula>NOT(ISERROR(SEARCH("Farm",A1)))</formula>
    </cfRule>
    <cfRule type="containsText" dxfId="84" priority="44" operator="containsText" text="Resource">
      <formula>NOT(ISERROR(SEARCH("Resource",A1)))</formula>
    </cfRule>
    <cfRule type="containsText" dxfId="83" priority="45" operator="containsText" text="Barracks">
      <formula>NOT(ISERROR(SEARCH("Barracks",A1)))</formula>
    </cfRule>
    <cfRule type="containsText" dxfId="82" priority="46" operator="containsText" text="Aviary">
      <formula>NOT(ISERROR(SEARCH("Aviary",A1)))</formula>
    </cfRule>
    <cfRule type="containsText" dxfId="81" priority="47" operator="containsText" text="Quartermaster">
      <formula>NOT(ISERROR(SEARCH("Quartermaster",A1)))</formula>
    </cfRule>
    <cfRule type="cellIs" dxfId="80" priority="48" operator="equal">
      <formula>"M"</formula>
    </cfRule>
    <cfRule type="cellIs" dxfId="79" priority="49" operator="equal">
      <formula>"B"</formula>
    </cfRule>
    <cfRule type="cellIs" dxfId="78" priority="50" operator="equal">
      <formula>"H"</formula>
    </cfRule>
  </conditionalFormatting>
  <conditionalFormatting sqref="C1:C21">
    <cfRule type="containsText" dxfId="77" priority="51" operator="containsText" text="Farm">
      <formula>NOT(ISERROR(SEARCH("Farm",C1)))</formula>
    </cfRule>
    <cfRule type="containsText" dxfId="76" priority="52" operator="containsText" text="Resource">
      <formula>NOT(ISERROR(SEARCH("Resource",C1)))</formula>
    </cfRule>
    <cfRule type="containsText" dxfId="75" priority="53" operator="containsText" text="Barracks">
      <formula>NOT(ISERROR(SEARCH("Barracks",C1)))</formula>
    </cfRule>
    <cfRule type="containsText" dxfId="74" priority="54" operator="containsText" text="Aviary">
      <formula>NOT(ISERROR(SEARCH("Aviary",C1)))</formula>
    </cfRule>
    <cfRule type="containsText" dxfId="73" priority="55" operator="containsText" text="Quartermaster">
      <formula>NOT(ISERROR(SEARCH("Quartermaster",C1)))</formula>
    </cfRule>
    <cfRule type="cellIs" dxfId="72" priority="56" operator="equal">
      <formula>"M"</formula>
    </cfRule>
    <cfRule type="cellIs" dxfId="71" priority="57" operator="equal">
      <formula>"B"</formula>
    </cfRule>
    <cfRule type="cellIs" dxfId="70" priority="58" operator="equal">
      <formula>"H"</formula>
    </cfRule>
  </conditionalFormatting>
  <conditionalFormatting sqref="L2:L14 C2:I21 L18:L21">
    <cfRule type="containsText" dxfId="69" priority="33" operator="containsText" text="Petricite Mill">
      <formula>NOT(ISERROR(SEARCH("Petricite Mill",C2)))</formula>
    </cfRule>
  </conditionalFormatting>
  <conditionalFormatting sqref="L2:L14 D2:I21 L18:L21">
    <cfRule type="containsText" dxfId="68" priority="32" operator="containsText" text="Lumberyard">
      <formula>NOT(ISERROR(SEARCH("Lumberyard",D2)))</formula>
    </cfRule>
    <cfRule type="containsText" dxfId="67" priority="34" operator="containsText" text="Forge">
      <formula>NOT(ISERROR(SEARCH("Forge",D2)))</formula>
    </cfRule>
    <cfRule type="containsText" dxfId="66" priority="35" operator="containsText" text="Quarry">
      <formula>NOT(ISERROR(SEARCH("Quarry",D2)))</formula>
    </cfRule>
    <cfRule type="containsText" dxfId="65" priority="36" operator="containsText" text="Unique">
      <formula>NOT(ISERROR(SEARCH("Unique",D2)))</formula>
    </cfRule>
    <cfRule type="containsText" dxfId="64" priority="37" operator="containsText" text="Marketplace">
      <formula>NOT(ISERROR(SEARCH("Marketplace",D2)))</formula>
    </cfRule>
    <cfRule type="containsText" dxfId="63" priority="38" operator="containsText" text="Farm">
      <formula>NOT(ISERROR(SEARCH("Farm",D2)))</formula>
    </cfRule>
    <cfRule type="containsText" dxfId="62" priority="39" operator="containsText" text="Academy">
      <formula>NOT(ISERROR(SEARCH("Academy",D2)))</formula>
    </cfRule>
    <cfRule type="containsText" dxfId="61" priority="40" operator="containsText" text="Barracks">
      <formula>NOT(ISERROR(SEARCH("Barracks",D2)))</formula>
    </cfRule>
    <cfRule type="containsText" dxfId="60" priority="41" operator="containsText" text="Aviary">
      <formula>NOT(ISERROR(SEARCH("Aviary",D2)))</formula>
    </cfRule>
    <cfRule type="containsText" dxfId="59" priority="42" operator="containsText" text="Quartermaster">
      <formula>NOT(ISERROR(SEARCH("Quartermaster",D2)))</formula>
    </cfRule>
  </conditionalFormatting>
  <conditionalFormatting sqref="N2">
    <cfRule type="containsText" dxfId="58" priority="21" operator="containsText" text="Lumberyard">
      <formula>NOT(ISERROR(SEARCH("Lumberyard",N2)))</formula>
    </cfRule>
    <cfRule type="containsText" dxfId="57" priority="22" operator="containsText" text="Petricite Mill">
      <formula>NOT(ISERROR(SEARCH("Petricite Mill",N2)))</formula>
    </cfRule>
    <cfRule type="containsText" dxfId="56" priority="23" operator="containsText" text="Forge">
      <formula>NOT(ISERROR(SEARCH("Forge",N2)))</formula>
    </cfRule>
    <cfRule type="containsText" dxfId="55" priority="24" operator="containsText" text="Quarry">
      <formula>NOT(ISERROR(SEARCH("Quarry",N2)))</formula>
    </cfRule>
    <cfRule type="containsText" dxfId="54" priority="25" operator="containsText" text="Unique">
      <formula>NOT(ISERROR(SEARCH("Unique",N2)))</formula>
    </cfRule>
    <cfRule type="containsText" dxfId="53" priority="26" operator="containsText" text="Marketplace">
      <formula>NOT(ISERROR(SEARCH("Marketplace",N2)))</formula>
    </cfRule>
    <cfRule type="containsText" dxfId="52" priority="27" operator="containsText" text="Farm">
      <formula>NOT(ISERROR(SEARCH("Farm",N2)))</formula>
    </cfRule>
    <cfRule type="containsText" dxfId="51" priority="28" operator="containsText" text="Academy">
      <formula>NOT(ISERROR(SEARCH("Academy",N2)))</formula>
    </cfRule>
    <cfRule type="containsText" dxfId="50" priority="29" operator="containsText" text="Barracks">
      <formula>NOT(ISERROR(SEARCH("Barracks",N2)))</formula>
    </cfRule>
    <cfRule type="containsText" dxfId="49" priority="30" operator="containsText" text="Aviary">
      <formula>NOT(ISERROR(SEARCH("Aviary",N2)))</formula>
    </cfRule>
    <cfRule type="containsText" dxfId="48" priority="31" operator="containsText" text="Quartermaster">
      <formula>NOT(ISERROR(SEARCH("Quartermaster",N2)))</formula>
    </cfRule>
  </conditionalFormatting>
  <conditionalFormatting sqref="N3">
    <cfRule type="containsText" dxfId="47" priority="1" operator="containsText" text="Petricite Mill">
      <formula>NOT(ISERROR(SEARCH("Petricite Mill",N3)))</formula>
    </cfRule>
    <cfRule type="containsText" dxfId="46" priority="2" operator="containsText" text="Farm">
      <formula>NOT(ISERROR(SEARCH("Farm",N3)))</formula>
    </cfRule>
    <cfRule type="containsText" dxfId="45" priority="3" operator="containsText" text="Resource">
      <formula>NOT(ISERROR(SEARCH("Resource",N3)))</formula>
    </cfRule>
    <cfRule type="containsText" dxfId="44" priority="4" operator="containsText" text="Barracks">
      <formula>NOT(ISERROR(SEARCH("Barracks",N3)))</formula>
    </cfRule>
    <cfRule type="containsText" dxfId="43" priority="5" operator="containsText" text="Aviary">
      <formula>NOT(ISERROR(SEARCH("Aviary",N3)))</formula>
    </cfRule>
    <cfRule type="containsText" dxfId="42" priority="6" operator="containsText" text="Quartermaster">
      <formula>NOT(ISERROR(SEARCH("Quartermaster",N3)))</formula>
    </cfRule>
    <cfRule type="cellIs" dxfId="41" priority="7" operator="equal">
      <formula>"M"</formula>
    </cfRule>
    <cfRule type="cellIs" dxfId="40" priority="8" operator="equal">
      <formula>"B"</formula>
    </cfRule>
    <cfRule type="cellIs" dxfId="39" priority="9" operator="equal">
      <formula>"H"</formula>
    </cfRule>
  </conditionalFormatting>
  <conditionalFormatting sqref="N4:N5">
    <cfRule type="containsText" dxfId="38" priority="10" operator="containsText" text="Lumberyard">
      <formula>NOT(ISERROR(SEARCH("Lumberyard",N4)))</formula>
    </cfRule>
    <cfRule type="containsText" dxfId="37" priority="11" operator="containsText" text="Petricite Mill">
      <formula>NOT(ISERROR(SEARCH("Petricite Mill",N4)))</formula>
    </cfRule>
    <cfRule type="containsText" dxfId="36" priority="12" operator="containsText" text="Forge">
      <formula>NOT(ISERROR(SEARCH("Forge",N4)))</formula>
    </cfRule>
    <cfRule type="containsText" dxfId="35" priority="13" operator="containsText" text="Quarry">
      <formula>NOT(ISERROR(SEARCH("Quarry",N4)))</formula>
    </cfRule>
    <cfRule type="containsText" dxfId="34" priority="14" operator="containsText" text="Unique">
      <formula>NOT(ISERROR(SEARCH("Unique",N4)))</formula>
    </cfRule>
    <cfRule type="containsText" dxfId="33" priority="15" operator="containsText" text="Marketplace">
      <formula>NOT(ISERROR(SEARCH("Marketplace",N4)))</formula>
    </cfRule>
    <cfRule type="containsText" dxfId="32" priority="16" operator="containsText" text="Farm">
      <formula>NOT(ISERROR(SEARCH("Farm",N4)))</formula>
    </cfRule>
    <cfRule type="containsText" dxfId="31" priority="17" operator="containsText" text="Academy">
      <formula>NOT(ISERROR(SEARCH("Academy",N4)))</formula>
    </cfRule>
    <cfRule type="containsText" dxfId="30" priority="18" operator="containsText" text="Barracks">
      <formula>NOT(ISERROR(SEARCH("Barracks",N4)))</formula>
    </cfRule>
    <cfRule type="containsText" dxfId="29" priority="19" operator="containsText" text="Aviary">
      <formula>NOT(ISERROR(SEARCH("Aviary",N4)))</formula>
    </cfRule>
    <cfRule type="containsText" dxfId="28" priority="20" operator="containsText" text="Quartermaster">
      <formula>NOT(ISERROR(SEARCH("Quartermaster",N4)))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3501-7722-44D2-B321-73954A2D9641}">
  <sheetPr codeName="Sheet4"/>
  <dimension ref="A1:P22"/>
  <sheetViews>
    <sheetView workbookViewId="0">
      <selection activeCell="N18" sqref="N18"/>
    </sheetView>
  </sheetViews>
  <sheetFormatPr defaultRowHeight="15" x14ac:dyDescent="0.25"/>
  <cols>
    <col min="1" max="1" width="4.140625" customWidth="1"/>
    <col min="2" max="2" width="17.28515625" customWidth="1"/>
    <col min="3" max="3" width="16.140625" customWidth="1"/>
    <col min="4" max="9" width="15.7109375" customWidth="1"/>
    <col min="12" max="12" width="17.5703125" customWidth="1"/>
    <col min="13" max="13" width="15.7109375" customWidth="1"/>
    <col min="14" max="14" width="16.42578125" customWidth="1"/>
  </cols>
  <sheetData>
    <row r="1" spans="1:16" x14ac:dyDescent="0.25">
      <c r="A1" s="1" t="s">
        <v>39</v>
      </c>
      <c r="B1" s="1" t="s">
        <v>28</v>
      </c>
      <c r="C1" s="1" t="s">
        <v>40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P1" s="1" t="s">
        <v>61</v>
      </c>
    </row>
    <row r="2" spans="1:16" x14ac:dyDescent="0.25">
      <c r="A2" s="1">
        <v>0</v>
      </c>
      <c r="B2" s="1" t="s">
        <v>0</v>
      </c>
      <c r="C2" s="8" t="s">
        <v>35</v>
      </c>
      <c r="D2" s="8" t="s">
        <v>1</v>
      </c>
      <c r="E2" s="8" t="s">
        <v>1</v>
      </c>
      <c r="F2" s="8" t="s">
        <v>1</v>
      </c>
      <c r="G2" s="8" t="s">
        <v>1</v>
      </c>
      <c r="H2" s="8" t="s">
        <v>1</v>
      </c>
      <c r="I2" s="8" t="s">
        <v>1</v>
      </c>
      <c r="K2" s="13" t="s">
        <v>71</v>
      </c>
      <c r="L2" s="12" t="s">
        <v>1</v>
      </c>
      <c r="M2" s="1">
        <f>COUNTIF(D2:I21, "Academy")</f>
        <v>28</v>
      </c>
      <c r="N2" s="11" t="s">
        <v>56</v>
      </c>
      <c r="O2" s="1" cm="1">
        <f t="array" ref="O2">CountResources(L2, H_ROWS)</f>
        <v>0</v>
      </c>
      <c r="P2" s="1">
        <f>O2/10</f>
        <v>0</v>
      </c>
    </row>
    <row r="3" spans="1:16" x14ac:dyDescent="0.25">
      <c r="A3" s="1">
        <f>A2 + 1</f>
        <v>1</v>
      </c>
      <c r="B3" s="1" t="s">
        <v>2</v>
      </c>
      <c r="C3" s="8" t="s">
        <v>36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K3" s="13"/>
      <c r="L3" s="12" t="s">
        <v>15</v>
      </c>
      <c r="M3" s="1">
        <f>COUNTIF(D2:I21, "Marketplace")</f>
        <v>11</v>
      </c>
      <c r="N3" s="6" t="s">
        <v>57</v>
      </c>
      <c r="O3" s="1" cm="1">
        <f t="array" ref="O3">CountResources(L2, M_ROWS)</f>
        <v>16</v>
      </c>
      <c r="P3" s="1">
        <f t="shared" ref="P3:P4" si="0">O3/10</f>
        <v>1.6</v>
      </c>
    </row>
    <row r="4" spans="1:16" x14ac:dyDescent="0.25">
      <c r="A4" s="1">
        <f t="shared" ref="A4:A21" si="1">A3 + 1</f>
        <v>2</v>
      </c>
      <c r="B4" s="1" t="s">
        <v>3</v>
      </c>
      <c r="C4" s="8" t="s">
        <v>36</v>
      </c>
      <c r="D4" s="8" t="s">
        <v>1</v>
      </c>
      <c r="E4" s="8" t="s">
        <v>1</v>
      </c>
      <c r="F4" s="8" t="s">
        <v>1</v>
      </c>
      <c r="G4" s="8" t="s">
        <v>1</v>
      </c>
      <c r="H4" s="8" t="s">
        <v>1</v>
      </c>
      <c r="I4" s="8" t="s">
        <v>1</v>
      </c>
      <c r="K4" s="13"/>
      <c r="L4" s="12" t="s">
        <v>9</v>
      </c>
      <c r="M4" s="1">
        <f>COUNTIF(D2:I21, "Quartermaster")</f>
        <v>6</v>
      </c>
      <c r="N4" s="7" t="s">
        <v>62</v>
      </c>
      <c r="O4" s="1" cm="1">
        <f t="array" ref="O4">CountResources(L2, B_ROWS)</f>
        <v>12</v>
      </c>
      <c r="P4" s="1">
        <f t="shared" si="0"/>
        <v>1.2</v>
      </c>
    </row>
    <row r="5" spans="1:16" x14ac:dyDescent="0.25">
      <c r="A5" s="1">
        <f t="shared" si="1"/>
        <v>3</v>
      </c>
      <c r="B5" s="1" t="s">
        <v>4</v>
      </c>
      <c r="C5" s="8" t="s">
        <v>36</v>
      </c>
      <c r="D5" s="8" t="s">
        <v>1</v>
      </c>
      <c r="E5" s="8" t="s">
        <v>1</v>
      </c>
      <c r="F5" s="8" t="s">
        <v>1</v>
      </c>
      <c r="G5" s="8" t="s">
        <v>1</v>
      </c>
      <c r="H5" s="8" t="s">
        <v>41</v>
      </c>
      <c r="I5" s="8" t="s">
        <v>42</v>
      </c>
      <c r="K5" s="13"/>
      <c r="L5" s="12" t="s">
        <v>10</v>
      </c>
      <c r="M5" s="1">
        <f>COUNTIF(D2:I21, "Aviary")</f>
        <v>5</v>
      </c>
      <c r="N5" s="5" t="s">
        <v>60</v>
      </c>
      <c r="O5" s="1">
        <f>SUM(O2:O4)</f>
        <v>28</v>
      </c>
    </row>
    <row r="6" spans="1:16" x14ac:dyDescent="0.25">
      <c r="A6" s="1">
        <f t="shared" si="1"/>
        <v>4</v>
      </c>
      <c r="B6" s="1" t="s">
        <v>7</v>
      </c>
      <c r="C6" s="8" t="s">
        <v>36</v>
      </c>
      <c r="D6" s="8" t="s">
        <v>41</v>
      </c>
      <c r="E6" s="8" t="s">
        <v>41</v>
      </c>
      <c r="F6" s="8" t="s">
        <v>41</v>
      </c>
      <c r="G6" s="8" t="s">
        <v>42</v>
      </c>
      <c r="H6" s="8" t="s">
        <v>42</v>
      </c>
      <c r="I6" s="8" t="s">
        <v>42</v>
      </c>
      <c r="K6" s="13"/>
      <c r="L6" s="12" t="s">
        <v>5</v>
      </c>
      <c r="M6" s="1">
        <f>COUNTIF(D2:I21, "Barracks")</f>
        <v>3</v>
      </c>
    </row>
    <row r="7" spans="1:16" x14ac:dyDescent="0.25">
      <c r="A7" s="1">
        <f t="shared" si="1"/>
        <v>5</v>
      </c>
      <c r="B7" s="1" t="s">
        <v>8</v>
      </c>
      <c r="C7" s="8" t="s">
        <v>36</v>
      </c>
      <c r="D7" s="8" t="s">
        <v>9</v>
      </c>
      <c r="E7" s="8" t="s">
        <v>10</v>
      </c>
      <c r="F7" s="8" t="s">
        <v>41</v>
      </c>
      <c r="G7" s="8" t="s">
        <v>41</v>
      </c>
      <c r="H7" s="8" t="s">
        <v>42</v>
      </c>
      <c r="I7" s="8" t="s">
        <v>42</v>
      </c>
      <c r="K7" s="13"/>
      <c r="L7" s="12" t="s">
        <v>13</v>
      </c>
      <c r="M7" s="1">
        <f>COUNTIF(D2:I21, "Farm")</f>
        <v>10</v>
      </c>
      <c r="N7" s="11" t="s">
        <v>68</v>
      </c>
      <c r="O7" s="1" cm="1">
        <f t="array" ref="O7">CountResources(L8:L12, H_ROWS)</f>
        <v>8</v>
      </c>
    </row>
    <row r="8" spans="1:16" x14ac:dyDescent="0.25">
      <c r="A8" s="1">
        <f t="shared" si="1"/>
        <v>6</v>
      </c>
      <c r="B8" s="1" t="s">
        <v>11</v>
      </c>
      <c r="C8" s="8" t="s">
        <v>35</v>
      </c>
      <c r="D8" s="8" t="s">
        <v>43</v>
      </c>
      <c r="E8" s="8" t="s">
        <v>43</v>
      </c>
      <c r="F8" s="8" t="s">
        <v>41</v>
      </c>
      <c r="G8" s="8" t="s">
        <v>41</v>
      </c>
      <c r="H8" s="8" t="s">
        <v>42</v>
      </c>
      <c r="I8" s="8" t="s">
        <v>42</v>
      </c>
      <c r="K8" s="13"/>
      <c r="L8" s="12" t="s">
        <v>43</v>
      </c>
      <c r="M8" s="1">
        <f>COUNTIF(D2:I21, "Lumberyard")</f>
        <v>16</v>
      </c>
      <c r="N8" s="6" t="s">
        <v>69</v>
      </c>
      <c r="O8" s="1" cm="1">
        <f t="array" ref="O8">CountResources(L8:L12, M_ROWS)</f>
        <v>24</v>
      </c>
    </row>
    <row r="9" spans="1:16" x14ac:dyDescent="0.25">
      <c r="A9" s="1">
        <f t="shared" si="1"/>
        <v>7</v>
      </c>
      <c r="B9" s="1" t="s">
        <v>12</v>
      </c>
      <c r="C9" s="8" t="s">
        <v>37</v>
      </c>
      <c r="D9" s="8" t="s">
        <v>9</v>
      </c>
      <c r="E9" s="8" t="s">
        <v>10</v>
      </c>
      <c r="F9" s="8" t="s">
        <v>5</v>
      </c>
      <c r="G9" s="8" t="s">
        <v>18</v>
      </c>
      <c r="H9" s="8" t="s">
        <v>13</v>
      </c>
      <c r="I9" s="8" t="s">
        <v>13</v>
      </c>
      <c r="K9" s="13"/>
      <c r="L9" s="12" t="s">
        <v>41</v>
      </c>
      <c r="M9" s="1">
        <f>COUNTIF(D2:I21, "Quarry")</f>
        <v>16</v>
      </c>
      <c r="N9" s="7" t="s">
        <v>72</v>
      </c>
      <c r="O9" s="1" cm="1">
        <f t="array" ref="O9">CountResources(L8:L12, B_ROWS)</f>
        <v>21</v>
      </c>
    </row>
    <row r="10" spans="1:16" x14ac:dyDescent="0.25">
      <c r="A10" s="1">
        <f t="shared" si="1"/>
        <v>8</v>
      </c>
      <c r="B10" s="1" t="s">
        <v>14</v>
      </c>
      <c r="C10" s="8" t="s">
        <v>38</v>
      </c>
      <c r="D10" s="8" t="s">
        <v>9</v>
      </c>
      <c r="E10" s="8" t="s">
        <v>15</v>
      </c>
      <c r="F10" s="8" t="s">
        <v>5</v>
      </c>
      <c r="G10" s="8" t="s">
        <v>15</v>
      </c>
      <c r="H10" s="8" t="s">
        <v>15</v>
      </c>
      <c r="I10" s="8" t="s">
        <v>15</v>
      </c>
      <c r="K10" s="13"/>
      <c r="L10" s="12" t="s">
        <v>42</v>
      </c>
      <c r="M10" s="1">
        <f>COUNTIF(D2:I21, "Forge")</f>
        <v>16</v>
      </c>
      <c r="N10" s="5" t="s">
        <v>60</v>
      </c>
      <c r="O10" s="1">
        <f>O7+O8+O9</f>
        <v>53</v>
      </c>
    </row>
    <row r="11" spans="1:16" x14ac:dyDescent="0.25">
      <c r="A11" s="1">
        <f t="shared" si="1"/>
        <v>9</v>
      </c>
      <c r="B11" s="1" t="s">
        <v>16</v>
      </c>
      <c r="C11" s="8" t="s">
        <v>37</v>
      </c>
      <c r="D11" s="8" t="s">
        <v>15</v>
      </c>
      <c r="E11" s="8" t="s">
        <v>10</v>
      </c>
      <c r="F11" s="8" t="s">
        <v>15</v>
      </c>
      <c r="G11" s="8" t="s">
        <v>15</v>
      </c>
      <c r="H11" s="8" t="s">
        <v>15</v>
      </c>
      <c r="I11" s="8" t="s">
        <v>15</v>
      </c>
      <c r="K11" s="13"/>
      <c r="L11" s="12" t="s">
        <v>44</v>
      </c>
      <c r="M11" s="1">
        <f>COUNTIF(D2:I21, "Petricite Mill")</f>
        <v>5</v>
      </c>
    </row>
    <row r="12" spans="1:16" x14ac:dyDescent="0.25">
      <c r="A12" s="1">
        <f t="shared" si="1"/>
        <v>10</v>
      </c>
      <c r="B12" s="1" t="s">
        <v>17</v>
      </c>
      <c r="C12" s="8" t="s">
        <v>37</v>
      </c>
      <c r="D12" s="8" t="s">
        <v>43</v>
      </c>
      <c r="E12" s="8" t="s">
        <v>43</v>
      </c>
      <c r="F12" s="8" t="s">
        <v>43</v>
      </c>
      <c r="G12" s="8" t="s">
        <v>43</v>
      </c>
      <c r="H12" s="8" t="s">
        <v>13</v>
      </c>
      <c r="I12" s="8" t="s">
        <v>13</v>
      </c>
      <c r="K12" s="13"/>
      <c r="L12" s="12" t="s">
        <v>6</v>
      </c>
      <c r="M12" s="1">
        <f>COUNTIF(D2:I21, "Resource")</f>
        <v>0</v>
      </c>
    </row>
    <row r="13" spans="1:16" x14ac:dyDescent="0.25">
      <c r="A13" s="1">
        <f t="shared" si="1"/>
        <v>11</v>
      </c>
      <c r="B13" s="1" t="s">
        <v>19</v>
      </c>
      <c r="C13" s="8" t="s">
        <v>35</v>
      </c>
      <c r="D13" s="8" t="s">
        <v>9</v>
      </c>
      <c r="E13" s="8" t="s">
        <v>43</v>
      </c>
      <c r="F13" s="8" t="s">
        <v>43</v>
      </c>
      <c r="G13" s="8" t="s">
        <v>43</v>
      </c>
      <c r="H13" s="8" t="s">
        <v>42</v>
      </c>
      <c r="I13" s="8" t="s">
        <v>42</v>
      </c>
      <c r="K13" s="13"/>
      <c r="L13" s="12" t="s">
        <v>18</v>
      </c>
      <c r="M13" s="1">
        <f>COUNTIF(D2:I21, "Unique")</f>
        <v>4</v>
      </c>
    </row>
    <row r="14" spans="1:16" x14ac:dyDescent="0.25">
      <c r="A14" s="1">
        <f t="shared" si="1"/>
        <v>12</v>
      </c>
      <c r="B14" s="1" t="s">
        <v>20</v>
      </c>
      <c r="C14" s="8" t="s">
        <v>35</v>
      </c>
      <c r="D14" s="8" t="s">
        <v>1</v>
      </c>
      <c r="E14" s="8" t="s">
        <v>1</v>
      </c>
      <c r="F14" s="8" t="s">
        <v>1</v>
      </c>
      <c r="G14" s="8" t="s">
        <v>1</v>
      </c>
      <c r="H14" s="8" t="s">
        <v>1</v>
      </c>
      <c r="I14" s="8" t="s">
        <v>1</v>
      </c>
      <c r="K14" s="13"/>
      <c r="L14" s="5" t="s">
        <v>70</v>
      </c>
      <c r="M14" s="1">
        <f>SUM(M2:M13)</f>
        <v>120</v>
      </c>
    </row>
    <row r="15" spans="1:16" x14ac:dyDescent="0.25">
      <c r="A15" s="1">
        <f t="shared" si="1"/>
        <v>13</v>
      </c>
      <c r="B15" s="1" t="s">
        <v>21</v>
      </c>
      <c r="C15" s="8" t="s">
        <v>37</v>
      </c>
      <c r="D15" s="8" t="s">
        <v>43</v>
      </c>
      <c r="E15" s="8" t="s">
        <v>43</v>
      </c>
      <c r="F15" s="8" t="s">
        <v>43</v>
      </c>
      <c r="G15" s="8" t="s">
        <v>43</v>
      </c>
      <c r="H15" s="8" t="s">
        <v>13</v>
      </c>
      <c r="I15" s="8" t="s">
        <v>13</v>
      </c>
    </row>
    <row r="16" spans="1:16" x14ac:dyDescent="0.25">
      <c r="A16" s="1">
        <f t="shared" si="1"/>
        <v>14</v>
      </c>
      <c r="B16" s="1" t="s">
        <v>22</v>
      </c>
      <c r="C16" s="8" t="s">
        <v>35</v>
      </c>
      <c r="D16" s="8" t="s">
        <v>42</v>
      </c>
      <c r="E16" s="8" t="s">
        <v>44</v>
      </c>
      <c r="F16" s="8" t="s">
        <v>44</v>
      </c>
      <c r="G16" s="8" t="s">
        <v>44</v>
      </c>
      <c r="H16" s="8" t="s">
        <v>44</v>
      </c>
      <c r="I16" s="8" t="s">
        <v>44</v>
      </c>
    </row>
    <row r="17" spans="1:14" x14ac:dyDescent="0.25">
      <c r="A17" s="1">
        <f t="shared" si="1"/>
        <v>15</v>
      </c>
      <c r="B17" s="1" t="s">
        <v>23</v>
      </c>
      <c r="C17" s="8" t="s">
        <v>37</v>
      </c>
      <c r="D17" s="8" t="s">
        <v>18</v>
      </c>
      <c r="E17" s="8" t="s">
        <v>10</v>
      </c>
      <c r="F17" s="8" t="s">
        <v>18</v>
      </c>
      <c r="G17" s="8" t="s">
        <v>18</v>
      </c>
      <c r="H17" s="8" t="s">
        <v>13</v>
      </c>
      <c r="I17" s="8" t="s">
        <v>13</v>
      </c>
    </row>
    <row r="18" spans="1:14" x14ac:dyDescent="0.25">
      <c r="A18" s="1">
        <f t="shared" si="1"/>
        <v>16</v>
      </c>
      <c r="B18" s="1" t="s">
        <v>24</v>
      </c>
      <c r="C18" s="8" t="s">
        <v>37</v>
      </c>
      <c r="D18" s="8" t="s">
        <v>9</v>
      </c>
      <c r="E18" s="8" t="s">
        <v>15</v>
      </c>
      <c r="F18" s="8" t="s">
        <v>5</v>
      </c>
      <c r="G18" s="8" t="s">
        <v>15</v>
      </c>
      <c r="H18" s="8" t="s">
        <v>13</v>
      </c>
      <c r="I18" s="8" t="s">
        <v>13</v>
      </c>
      <c r="L18" s="9" t="s">
        <v>63</v>
      </c>
      <c r="M18" s="9"/>
      <c r="N18" s="1">
        <v>16300</v>
      </c>
    </row>
    <row r="19" spans="1:14" x14ac:dyDescent="0.25">
      <c r="A19" s="1">
        <f t="shared" si="1"/>
        <v>17</v>
      </c>
      <c r="B19" s="1" t="s">
        <v>25</v>
      </c>
      <c r="C19" s="8" t="s">
        <v>35</v>
      </c>
      <c r="D19" s="8" t="s">
        <v>9</v>
      </c>
      <c r="E19" s="8" t="s">
        <v>10</v>
      </c>
      <c r="F19" s="8" t="s">
        <v>43</v>
      </c>
      <c r="G19" s="8" t="s">
        <v>43</v>
      </c>
      <c r="H19" s="8" t="s">
        <v>43</v>
      </c>
      <c r="I19" s="8" t="s">
        <v>42</v>
      </c>
      <c r="L19" s="9" t="s">
        <v>64</v>
      </c>
      <c r="M19" s="9"/>
      <c r="N19" s="1">
        <f>M8+M9+M10+M11+M12</f>
        <v>53</v>
      </c>
    </row>
    <row r="20" spans="1:14" x14ac:dyDescent="0.25">
      <c r="A20" s="1">
        <f t="shared" si="1"/>
        <v>18</v>
      </c>
      <c r="B20" s="1" t="s">
        <v>26</v>
      </c>
      <c r="C20" s="8" t="s">
        <v>36</v>
      </c>
      <c r="D20" s="8" t="s">
        <v>41</v>
      </c>
      <c r="E20" s="8" t="s">
        <v>41</v>
      </c>
      <c r="F20" s="8" t="s">
        <v>41</v>
      </c>
      <c r="G20" s="8" t="s">
        <v>41</v>
      </c>
      <c r="H20" s="8" t="s">
        <v>42</v>
      </c>
      <c r="I20" s="8" t="s">
        <v>42</v>
      </c>
      <c r="L20" s="9" t="s">
        <v>65</v>
      </c>
      <c r="M20" s="9"/>
      <c r="N20" s="1">
        <f>M2+M3</f>
        <v>39</v>
      </c>
    </row>
    <row r="21" spans="1:14" x14ac:dyDescent="0.25">
      <c r="A21" s="1">
        <f t="shared" si="1"/>
        <v>19</v>
      </c>
      <c r="B21" s="1" t="s">
        <v>27</v>
      </c>
      <c r="C21" s="8" t="s">
        <v>36</v>
      </c>
      <c r="D21" s="8" t="s">
        <v>41</v>
      </c>
      <c r="E21" s="8" t="s">
        <v>41</v>
      </c>
      <c r="F21" s="8" t="s">
        <v>41</v>
      </c>
      <c r="G21" s="8" t="s">
        <v>41</v>
      </c>
      <c r="H21" s="8" t="s">
        <v>42</v>
      </c>
      <c r="I21" s="8" t="s">
        <v>42</v>
      </c>
      <c r="L21" s="9" t="s">
        <v>66</v>
      </c>
      <c r="M21" s="9"/>
      <c r="N21" s="1">
        <f>N19+N20</f>
        <v>92</v>
      </c>
    </row>
    <row r="22" spans="1:14" x14ac:dyDescent="0.25">
      <c r="L22" s="10" t="s">
        <v>67</v>
      </c>
      <c r="M22" s="10"/>
      <c r="N22" s="1">
        <f>ROUND(N18/(100*N21)%, 3)</f>
        <v>177.17400000000001</v>
      </c>
    </row>
  </sheetData>
  <mergeCells count="6">
    <mergeCell ref="K2:K14"/>
    <mergeCell ref="L18:M18"/>
    <mergeCell ref="L19:M19"/>
    <mergeCell ref="L20:M20"/>
    <mergeCell ref="L21:M21"/>
    <mergeCell ref="L22:M22"/>
  </mergeCells>
  <conditionalFormatting sqref="D2:I21 K2:L2 L3:L13">
    <cfRule type="cellIs" dxfId="27" priority="1" operator="equal">
      <formula>"Petricite Mill"</formula>
    </cfRule>
    <cfRule type="cellIs" dxfId="26" priority="2" operator="equal">
      <formula>"Forge"</formula>
    </cfRule>
    <cfRule type="cellIs" dxfId="25" priority="3" operator="equal">
      <formula>"Quarry"</formula>
    </cfRule>
    <cfRule type="cellIs" dxfId="24" priority="4" operator="equal">
      <formula>"Lumberyard"</formula>
    </cfRule>
    <cfRule type="cellIs" dxfId="23" priority="5" operator="equal">
      <formula>"Farm"</formula>
    </cfRule>
    <cfRule type="cellIs" dxfId="22" priority="6" operator="equal">
      <formula>"Marketplace"</formula>
    </cfRule>
    <cfRule type="cellIs" dxfId="21" priority="7" operator="equal">
      <formula>"Academy"</formula>
    </cfRule>
    <cfRule type="cellIs" dxfId="20" priority="8" operator="equal">
      <formula>"Unique"</formula>
    </cfRule>
    <cfRule type="cellIs" dxfId="19" priority="9" operator="equal">
      <formula>"Barracks"</formula>
    </cfRule>
    <cfRule type="cellIs" dxfId="18" priority="10" operator="equal">
      <formula>"Aviary"</formula>
    </cfRule>
    <cfRule type="cellIs" dxfId="17" priority="11" operator="equal">
      <formula>"Quartermaster"</formula>
    </cfRule>
  </conditionalFormatting>
  <conditionalFormatting sqref="C2:C21">
    <cfRule type="cellIs" dxfId="16" priority="12" operator="equal">
      <formula>"M"</formula>
    </cfRule>
    <cfRule type="cellIs" dxfId="15" priority="13" operator="equal">
      <formula>"B"</formula>
    </cfRule>
    <cfRule type="cellIs" dxfId="14" priority="14" operator="equal">
      <formula>"H"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EE8B-A92A-4A22-B4B5-F805F904B19B}">
  <sheetPr codeName="Sheet5"/>
  <dimension ref="A1:S23"/>
  <sheetViews>
    <sheetView tabSelected="1" workbookViewId="0">
      <selection activeCell="J22" sqref="J22"/>
    </sheetView>
  </sheetViews>
  <sheetFormatPr defaultRowHeight="15" x14ac:dyDescent="0.25"/>
  <cols>
    <col min="1" max="1" width="4.140625" customWidth="1"/>
    <col min="2" max="2" width="17.28515625" customWidth="1"/>
    <col min="3" max="3" width="16.140625" customWidth="1"/>
    <col min="4" max="9" width="15.7109375" customWidth="1"/>
    <col min="10" max="10" width="10.85546875" customWidth="1"/>
    <col min="11" max="11" width="12.42578125" customWidth="1"/>
    <col min="12" max="12" width="17.5703125" customWidth="1"/>
    <col min="13" max="13" width="15.7109375" customWidth="1"/>
    <col min="14" max="14" width="16.42578125" customWidth="1"/>
    <col min="15" max="15" width="14.28515625" customWidth="1"/>
    <col min="17" max="17" width="15.7109375" customWidth="1"/>
  </cols>
  <sheetData>
    <row r="1" spans="1:19" x14ac:dyDescent="0.25">
      <c r="A1" s="1" t="s">
        <v>39</v>
      </c>
      <c r="B1" s="1" t="s">
        <v>28</v>
      </c>
      <c r="C1" s="1" t="s">
        <v>40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73</v>
      </c>
      <c r="K1" s="1" t="s">
        <v>74</v>
      </c>
    </row>
    <row r="2" spans="1:19" x14ac:dyDescent="0.25">
      <c r="A2" s="1">
        <v>0</v>
      </c>
      <c r="B2" s="1" t="s">
        <v>0</v>
      </c>
      <c r="C2" s="8" t="s">
        <v>35</v>
      </c>
      <c r="D2" s="8" t="s">
        <v>1</v>
      </c>
      <c r="E2" s="8" t="s">
        <v>1</v>
      </c>
      <c r="F2" s="8" t="s">
        <v>1</v>
      </c>
      <c r="G2" s="8" t="s">
        <v>1</v>
      </c>
      <c r="H2" s="8" t="s">
        <v>1</v>
      </c>
      <c r="I2" s="8" t="s">
        <v>6</v>
      </c>
      <c r="J2" s="1">
        <v>210</v>
      </c>
      <c r="K2" cm="1">
        <f t="array" ref="K2">CountResources(O9:O13, D2:I2) * J2</f>
        <v>210</v>
      </c>
      <c r="S2" s="1" t="s">
        <v>61</v>
      </c>
    </row>
    <row r="3" spans="1:19" x14ac:dyDescent="0.25">
      <c r="A3" s="1">
        <f>A2 + 1</f>
        <v>1</v>
      </c>
      <c r="B3" s="1" t="s">
        <v>2</v>
      </c>
      <c r="C3" s="8" t="s">
        <v>36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6</v>
      </c>
      <c r="J3" s="1">
        <v>260</v>
      </c>
      <c r="K3" cm="1">
        <f t="array" ref="K3">CountResources(O9:O13, D3:I3) * J3</f>
        <v>260</v>
      </c>
      <c r="N3" s="13" t="s">
        <v>71</v>
      </c>
      <c r="O3" s="12" t="s">
        <v>1</v>
      </c>
      <c r="P3" s="1">
        <f>COUNTIF(D2:I21, "Academy")</f>
        <v>27</v>
      </c>
      <c r="Q3" s="11" t="s">
        <v>56</v>
      </c>
      <c r="R3" s="1" cm="1">
        <f t="array" ref="R3">CountResources(O3, H_ROWS)</f>
        <v>0</v>
      </c>
      <c r="S3" s="1">
        <f>R3/10</f>
        <v>0</v>
      </c>
    </row>
    <row r="4" spans="1:19" x14ac:dyDescent="0.25">
      <c r="A4" s="1">
        <f t="shared" ref="A4:A21" si="0">A3 + 1</f>
        <v>2</v>
      </c>
      <c r="B4" s="1" t="s">
        <v>3</v>
      </c>
      <c r="C4" s="8" t="s">
        <v>36</v>
      </c>
      <c r="D4" s="8" t="s">
        <v>1</v>
      </c>
      <c r="E4" s="8" t="s">
        <v>1</v>
      </c>
      <c r="F4" s="8" t="s">
        <v>1</v>
      </c>
      <c r="G4" s="8" t="s">
        <v>1</v>
      </c>
      <c r="H4" s="8" t="s">
        <v>1</v>
      </c>
      <c r="I4" s="8" t="s">
        <v>6</v>
      </c>
      <c r="J4" s="1">
        <v>260</v>
      </c>
      <c r="K4" cm="1">
        <f t="array" ref="K4">CountResources(O9:O13, D4:I4) * J4</f>
        <v>260</v>
      </c>
      <c r="N4" s="13"/>
      <c r="O4" s="12" t="s">
        <v>15</v>
      </c>
      <c r="P4" s="1">
        <f>COUNTIF(D2:I21, "Marketplace")</f>
        <v>9</v>
      </c>
      <c r="Q4" s="6" t="s">
        <v>57</v>
      </c>
      <c r="R4" s="1" cm="1">
        <f t="array" ref="R4">CountResources(O3, M_ROWS)</f>
        <v>16</v>
      </c>
      <c r="S4" s="1">
        <f t="shared" ref="S4:S5" si="1">R4/10</f>
        <v>1.6</v>
      </c>
    </row>
    <row r="5" spans="1:19" x14ac:dyDescent="0.25">
      <c r="A5" s="1">
        <f t="shared" si="0"/>
        <v>3</v>
      </c>
      <c r="B5" s="1" t="s">
        <v>4</v>
      </c>
      <c r="C5" s="8" t="s">
        <v>36</v>
      </c>
      <c r="D5" s="8" t="s">
        <v>1</v>
      </c>
      <c r="E5" s="8" t="s">
        <v>1</v>
      </c>
      <c r="F5" s="8" t="s">
        <v>1</v>
      </c>
      <c r="G5" s="8" t="s">
        <v>1</v>
      </c>
      <c r="H5" s="8" t="s">
        <v>1</v>
      </c>
      <c r="I5" s="8" t="s">
        <v>6</v>
      </c>
      <c r="J5" s="1">
        <v>260</v>
      </c>
      <c r="K5" cm="1">
        <f t="array" ref="K5">CountResources(O9:O13, D5:I5) * J5</f>
        <v>260</v>
      </c>
      <c r="N5" s="13"/>
      <c r="O5" s="12" t="s">
        <v>9</v>
      </c>
      <c r="P5" s="1">
        <f>COUNTIF(D2:I21, "Quartermaster")</f>
        <v>6</v>
      </c>
      <c r="Q5" s="7" t="s">
        <v>62</v>
      </c>
      <c r="R5" s="1" cm="1">
        <f t="array" ref="R5">CountResources(O3, B_ROWS)</f>
        <v>11</v>
      </c>
      <c r="S5" s="1">
        <f t="shared" si="1"/>
        <v>1.1000000000000001</v>
      </c>
    </row>
    <row r="6" spans="1:19" x14ac:dyDescent="0.25">
      <c r="A6" s="1">
        <f t="shared" si="0"/>
        <v>4</v>
      </c>
      <c r="B6" s="1" t="s">
        <v>7</v>
      </c>
      <c r="C6" s="8" t="s">
        <v>36</v>
      </c>
      <c r="D6" s="8" t="s">
        <v>1</v>
      </c>
      <c r="E6" s="8" t="s">
        <v>6</v>
      </c>
      <c r="F6" s="8" t="s">
        <v>6</v>
      </c>
      <c r="G6" s="8" t="s">
        <v>6</v>
      </c>
      <c r="H6" s="8" t="s">
        <v>6</v>
      </c>
      <c r="I6" s="8" t="s">
        <v>6</v>
      </c>
      <c r="J6" s="1">
        <v>260</v>
      </c>
      <c r="K6" cm="1">
        <f t="array" ref="K6">CountResources(O9:O13, D6:I6) * J6</f>
        <v>1300</v>
      </c>
      <c r="N6" s="13"/>
      <c r="O6" s="12" t="s">
        <v>10</v>
      </c>
      <c r="P6" s="1">
        <f>COUNTIF(D2:I21, "Aviary")</f>
        <v>5</v>
      </c>
      <c r="Q6" s="5" t="s">
        <v>60</v>
      </c>
      <c r="R6" s="1">
        <f>SUM(R3:R5)</f>
        <v>27</v>
      </c>
    </row>
    <row r="7" spans="1:19" x14ac:dyDescent="0.25">
      <c r="A7" s="1">
        <f t="shared" si="0"/>
        <v>5</v>
      </c>
      <c r="B7" s="1" t="s">
        <v>8</v>
      </c>
      <c r="C7" s="8" t="s">
        <v>36</v>
      </c>
      <c r="D7" s="8" t="s">
        <v>9</v>
      </c>
      <c r="E7" s="8" t="s">
        <v>10</v>
      </c>
      <c r="F7" s="8" t="s">
        <v>6</v>
      </c>
      <c r="G7" s="8" t="s">
        <v>6</v>
      </c>
      <c r="H7" s="8" t="s">
        <v>6</v>
      </c>
      <c r="I7" s="8" t="s">
        <v>6</v>
      </c>
      <c r="J7" s="1">
        <v>350</v>
      </c>
      <c r="K7" cm="1">
        <f t="array" ref="K7">CountResources(O9:O13, D7:I7) * J7</f>
        <v>1400</v>
      </c>
      <c r="N7" s="13"/>
      <c r="O7" s="12" t="s">
        <v>5</v>
      </c>
      <c r="P7" s="1">
        <f>COUNTIF(D2:I21, "Barracks")</f>
        <v>3</v>
      </c>
    </row>
    <row r="8" spans="1:19" x14ac:dyDescent="0.25">
      <c r="A8" s="1">
        <f t="shared" si="0"/>
        <v>6</v>
      </c>
      <c r="B8" s="1" t="s">
        <v>11</v>
      </c>
      <c r="C8" s="8" t="s">
        <v>35</v>
      </c>
      <c r="D8" s="8" t="s">
        <v>6</v>
      </c>
      <c r="E8" s="8" t="s">
        <v>6</v>
      </c>
      <c r="F8" s="8" t="s">
        <v>6</v>
      </c>
      <c r="G8" s="8" t="s">
        <v>6</v>
      </c>
      <c r="H8" s="8" t="s">
        <v>6</v>
      </c>
      <c r="I8" s="8" t="s">
        <v>6</v>
      </c>
      <c r="J8" s="1">
        <v>260</v>
      </c>
      <c r="K8" cm="1">
        <f t="array" ref="K8">CountResources(O9:O13, D8:I8) * J8</f>
        <v>1560</v>
      </c>
      <c r="N8" s="13"/>
      <c r="O8" s="12" t="s">
        <v>13</v>
      </c>
      <c r="P8" s="1">
        <f>COUNTIF(D2:I21, "Farm")</f>
        <v>10</v>
      </c>
      <c r="Q8" s="11" t="s">
        <v>68</v>
      </c>
      <c r="R8" s="1" cm="1">
        <f t="array" ref="R8">CountResources(O9:O13, H_ROWS)</f>
        <v>10</v>
      </c>
    </row>
    <row r="9" spans="1:19" x14ac:dyDescent="0.25">
      <c r="A9" s="1">
        <f t="shared" si="0"/>
        <v>7</v>
      </c>
      <c r="B9" s="1" t="s">
        <v>12</v>
      </c>
      <c r="C9" s="8" t="s">
        <v>37</v>
      </c>
      <c r="D9" s="8" t="s">
        <v>10</v>
      </c>
      <c r="E9" s="8" t="s">
        <v>5</v>
      </c>
      <c r="F9" s="8" t="s">
        <v>13</v>
      </c>
      <c r="G9" s="8" t="s">
        <v>13</v>
      </c>
      <c r="H9" s="8" t="s">
        <v>18</v>
      </c>
      <c r="I9" s="8" t="s">
        <v>9</v>
      </c>
      <c r="J9" s="1">
        <v>100</v>
      </c>
      <c r="K9" cm="1">
        <f t="array" ref="K9">CountResources(O9:O13, D9:I9) * J9</f>
        <v>0</v>
      </c>
      <c r="N9" s="13"/>
      <c r="O9" s="12" t="s">
        <v>43</v>
      </c>
      <c r="P9" s="1">
        <f>COUNTIF(D2:I21, "Lumberyard")</f>
        <v>0</v>
      </c>
      <c r="Q9" s="6" t="s">
        <v>69</v>
      </c>
      <c r="R9" s="1" cm="1">
        <f t="array" ref="R9">CountResources(O9:O13, M_ROWS)</f>
        <v>24</v>
      </c>
    </row>
    <row r="10" spans="1:19" x14ac:dyDescent="0.25">
      <c r="A10" s="1">
        <f t="shared" si="0"/>
        <v>8</v>
      </c>
      <c r="B10" s="1" t="s">
        <v>14</v>
      </c>
      <c r="C10" s="8" t="s">
        <v>38</v>
      </c>
      <c r="D10" s="8" t="s">
        <v>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9</v>
      </c>
      <c r="J10" s="1">
        <v>100</v>
      </c>
      <c r="K10" cm="1">
        <f t="array" ref="K10">CountResources(O9:O13, D10:I10) * J10</f>
        <v>0</v>
      </c>
      <c r="N10" s="13"/>
      <c r="O10" s="12" t="s">
        <v>41</v>
      </c>
      <c r="P10" s="1">
        <f>COUNTIF(D2:I21, "Quarry")</f>
        <v>0</v>
      </c>
      <c r="Q10" s="7" t="s">
        <v>72</v>
      </c>
      <c r="R10" s="1" cm="1">
        <f t="array" ref="R10">CountResources(O9:O13, B_ROWS)</f>
        <v>22</v>
      </c>
    </row>
    <row r="11" spans="1:19" x14ac:dyDescent="0.25">
      <c r="A11" s="1">
        <f t="shared" si="0"/>
        <v>9</v>
      </c>
      <c r="B11" s="1" t="s">
        <v>16</v>
      </c>
      <c r="C11" s="8" t="s">
        <v>37</v>
      </c>
      <c r="D11" s="8" t="s">
        <v>15</v>
      </c>
      <c r="E11" s="8" t="s">
        <v>15</v>
      </c>
      <c r="F11" s="8" t="s">
        <v>15</v>
      </c>
      <c r="G11" s="8" t="s">
        <v>15</v>
      </c>
      <c r="H11" s="8" t="s">
        <v>15</v>
      </c>
      <c r="I11" s="8" t="s">
        <v>10</v>
      </c>
      <c r="J11" s="1">
        <v>100</v>
      </c>
      <c r="K11" cm="1">
        <f t="array" ref="K11">CountResources(O9:O13, D11:I11) * J11</f>
        <v>0</v>
      </c>
      <c r="N11" s="13"/>
      <c r="O11" s="12" t="s">
        <v>42</v>
      </c>
      <c r="P11" s="1">
        <f>COUNTIF(D2:I21, "Forge")</f>
        <v>0</v>
      </c>
      <c r="Q11" s="5" t="s">
        <v>60</v>
      </c>
      <c r="R11" s="1">
        <f>R8+R9+R10</f>
        <v>56</v>
      </c>
    </row>
    <row r="12" spans="1:19" x14ac:dyDescent="0.25">
      <c r="A12" s="1">
        <f t="shared" si="0"/>
        <v>10</v>
      </c>
      <c r="B12" s="1" t="s">
        <v>17</v>
      </c>
      <c r="C12" s="8" t="s">
        <v>37</v>
      </c>
      <c r="D12" s="8" t="s">
        <v>13</v>
      </c>
      <c r="E12" s="8" t="s">
        <v>13</v>
      </c>
      <c r="F12" s="8" t="s">
        <v>6</v>
      </c>
      <c r="G12" s="8" t="s">
        <v>6</v>
      </c>
      <c r="H12" s="8" t="s">
        <v>6</v>
      </c>
      <c r="I12" s="8" t="s">
        <v>6</v>
      </c>
      <c r="J12" s="1">
        <v>150</v>
      </c>
      <c r="K12" cm="1">
        <f t="array" ref="K12">CountResources(O9:O13, D12:I12) * J12</f>
        <v>600</v>
      </c>
      <c r="N12" s="13"/>
      <c r="O12" s="12" t="s">
        <v>44</v>
      </c>
      <c r="P12" s="1">
        <f>COUNTIF(D2:I21, "Petricite Mill")</f>
        <v>0</v>
      </c>
    </row>
    <row r="13" spans="1:19" x14ac:dyDescent="0.25">
      <c r="A13" s="1">
        <f t="shared" si="0"/>
        <v>11</v>
      </c>
      <c r="B13" s="1" t="s">
        <v>19</v>
      </c>
      <c r="C13" s="8" t="s">
        <v>35</v>
      </c>
      <c r="D13" s="8" t="s">
        <v>9</v>
      </c>
      <c r="E13" s="8" t="s">
        <v>6</v>
      </c>
      <c r="F13" s="8" t="s">
        <v>6</v>
      </c>
      <c r="G13" s="8" t="s">
        <v>6</v>
      </c>
      <c r="H13" s="8" t="s">
        <v>6</v>
      </c>
      <c r="I13" s="8" t="s">
        <v>6</v>
      </c>
      <c r="J13" s="1">
        <v>260</v>
      </c>
      <c r="K13" cm="1">
        <f t="array" ref="K13">CountResources(O9:O13, D13:I13) * J13</f>
        <v>1300</v>
      </c>
      <c r="N13" s="13"/>
      <c r="O13" s="12" t="s">
        <v>6</v>
      </c>
      <c r="P13" s="1">
        <f>COUNTIF(D2:I21, "Resource")</f>
        <v>56</v>
      </c>
    </row>
    <row r="14" spans="1:19" x14ac:dyDescent="0.25">
      <c r="A14" s="1">
        <f t="shared" si="0"/>
        <v>12</v>
      </c>
      <c r="B14" s="1" t="s">
        <v>20</v>
      </c>
      <c r="C14" s="8" t="s">
        <v>35</v>
      </c>
      <c r="D14" s="8" t="s">
        <v>1</v>
      </c>
      <c r="E14" s="8" t="s">
        <v>1</v>
      </c>
      <c r="F14" s="8" t="s">
        <v>1</v>
      </c>
      <c r="G14" s="8" t="s">
        <v>1</v>
      </c>
      <c r="H14" s="8" t="s">
        <v>1</v>
      </c>
      <c r="I14" s="8" t="s">
        <v>6</v>
      </c>
      <c r="J14" s="1">
        <v>210</v>
      </c>
      <c r="K14" cm="1">
        <f t="array" ref="K14">CountResources(O9:O13, D14:I14) * J14</f>
        <v>210</v>
      </c>
      <c r="N14" s="13"/>
      <c r="O14" s="12" t="s">
        <v>18</v>
      </c>
      <c r="P14" s="1">
        <f>COUNTIF(D2:I21, "Unique")</f>
        <v>4</v>
      </c>
    </row>
    <row r="15" spans="1:19" x14ac:dyDescent="0.25">
      <c r="A15" s="1">
        <f t="shared" si="0"/>
        <v>13</v>
      </c>
      <c r="B15" s="1" t="s">
        <v>21</v>
      </c>
      <c r="C15" s="8" t="s">
        <v>37</v>
      </c>
      <c r="D15" s="8" t="s">
        <v>13</v>
      </c>
      <c r="E15" s="8" t="s">
        <v>13</v>
      </c>
      <c r="F15" s="8" t="s">
        <v>6</v>
      </c>
      <c r="G15" s="8" t="s">
        <v>6</v>
      </c>
      <c r="H15" s="8" t="s">
        <v>6</v>
      </c>
      <c r="I15" s="8" t="s">
        <v>6</v>
      </c>
      <c r="J15" s="1">
        <v>190</v>
      </c>
      <c r="K15" cm="1">
        <f t="array" ref="K15">CountResources(O9:O13, D15:I15) * J15</f>
        <v>760</v>
      </c>
      <c r="N15" s="13"/>
      <c r="O15" s="5" t="s">
        <v>70</v>
      </c>
      <c r="P15" s="1">
        <f>SUM(P3:P14)</f>
        <v>120</v>
      </c>
    </row>
    <row r="16" spans="1:19" x14ac:dyDescent="0.25">
      <c r="A16" s="1">
        <f t="shared" si="0"/>
        <v>14</v>
      </c>
      <c r="B16" s="1" t="s">
        <v>22</v>
      </c>
      <c r="C16" s="8" t="s">
        <v>35</v>
      </c>
      <c r="D16" s="8" t="s">
        <v>6</v>
      </c>
      <c r="E16" s="8" t="s">
        <v>6</v>
      </c>
      <c r="F16" s="8" t="s">
        <v>6</v>
      </c>
      <c r="G16" s="8" t="s">
        <v>6</v>
      </c>
      <c r="H16" s="8" t="s">
        <v>6</v>
      </c>
      <c r="I16" s="8" t="s">
        <v>6</v>
      </c>
      <c r="J16" s="1">
        <v>250</v>
      </c>
      <c r="K16" cm="1">
        <f t="array" ref="K16">CountResources(O9:O13, D16:I16) * J16</f>
        <v>1500</v>
      </c>
    </row>
    <row r="17" spans="1:17" x14ac:dyDescent="0.25">
      <c r="A17" s="1">
        <f t="shared" si="0"/>
        <v>15</v>
      </c>
      <c r="B17" s="1" t="s">
        <v>23</v>
      </c>
      <c r="C17" s="8" t="s">
        <v>37</v>
      </c>
      <c r="D17" s="8" t="s">
        <v>10</v>
      </c>
      <c r="E17" s="8" t="s">
        <v>13</v>
      </c>
      <c r="F17" s="8" t="s">
        <v>18</v>
      </c>
      <c r="G17" s="8" t="s">
        <v>18</v>
      </c>
      <c r="H17" s="8" t="s">
        <v>18</v>
      </c>
      <c r="I17" s="8" t="s">
        <v>13</v>
      </c>
      <c r="J17" s="1">
        <v>100</v>
      </c>
      <c r="K17" cm="1">
        <f t="array" ref="K17">CountResources(O9:O13, D17:I17) * J17</f>
        <v>0</v>
      </c>
    </row>
    <row r="18" spans="1:17" x14ac:dyDescent="0.25">
      <c r="A18" s="1">
        <f t="shared" si="0"/>
        <v>16</v>
      </c>
      <c r="B18" s="1" t="s">
        <v>24</v>
      </c>
      <c r="C18" s="8" t="s">
        <v>37</v>
      </c>
      <c r="D18" s="8" t="s">
        <v>9</v>
      </c>
      <c r="E18" s="8" t="s">
        <v>5</v>
      </c>
      <c r="F18" s="8" t="s">
        <v>13</v>
      </c>
      <c r="G18" s="8" t="s">
        <v>13</v>
      </c>
      <c r="H18" s="8" t="s">
        <v>6</v>
      </c>
      <c r="I18" s="8" t="s">
        <v>6</v>
      </c>
      <c r="J18" s="1">
        <v>100</v>
      </c>
      <c r="K18" cm="1">
        <f t="array" ref="K18">CountResources(O9:O13, D18:I18) * J18</f>
        <v>200</v>
      </c>
    </row>
    <row r="19" spans="1:17" x14ac:dyDescent="0.25">
      <c r="A19" s="1">
        <f t="shared" si="0"/>
        <v>17</v>
      </c>
      <c r="B19" s="1" t="s">
        <v>25</v>
      </c>
      <c r="C19" s="8" t="s">
        <v>35</v>
      </c>
      <c r="D19" s="8" t="s">
        <v>9</v>
      </c>
      <c r="E19" s="8" t="s">
        <v>10</v>
      </c>
      <c r="F19" s="8" t="s">
        <v>1</v>
      </c>
      <c r="G19" s="8" t="s">
        <v>6</v>
      </c>
      <c r="H19" s="8" t="s">
        <v>6</v>
      </c>
      <c r="I19" s="8" t="s">
        <v>6</v>
      </c>
      <c r="J19" s="1">
        <v>210</v>
      </c>
      <c r="K19" cm="1">
        <f t="array" ref="K19">CountResources(O9:O13, D19:I19) * J19</f>
        <v>630</v>
      </c>
      <c r="O19" s="9" t="s">
        <v>63</v>
      </c>
      <c r="P19" s="9"/>
      <c r="Q19" s="1">
        <v>16300</v>
      </c>
    </row>
    <row r="20" spans="1:17" x14ac:dyDescent="0.25">
      <c r="A20" s="1">
        <f t="shared" si="0"/>
        <v>18</v>
      </c>
      <c r="B20" s="1" t="s">
        <v>26</v>
      </c>
      <c r="C20" s="8" t="s">
        <v>36</v>
      </c>
      <c r="D20" s="8" t="s">
        <v>6</v>
      </c>
      <c r="E20" s="8" t="s">
        <v>6</v>
      </c>
      <c r="F20" s="8" t="s">
        <v>6</v>
      </c>
      <c r="G20" s="8" t="s">
        <v>6</v>
      </c>
      <c r="H20" s="8" t="s">
        <v>6</v>
      </c>
      <c r="I20" s="8" t="s">
        <v>6</v>
      </c>
      <c r="J20" s="1">
        <v>260</v>
      </c>
      <c r="K20" cm="1">
        <f t="array" ref="K20">CountResources(O9:O13, D20:I20) * J20</f>
        <v>1560</v>
      </c>
      <c r="O20" s="9" t="s">
        <v>64</v>
      </c>
      <c r="P20" s="9"/>
      <c r="Q20" s="1">
        <f>P9+P10+P11+P12+P13</f>
        <v>56</v>
      </c>
    </row>
    <row r="21" spans="1:17" x14ac:dyDescent="0.25">
      <c r="A21" s="1">
        <f t="shared" si="0"/>
        <v>19</v>
      </c>
      <c r="B21" s="1" t="s">
        <v>27</v>
      </c>
      <c r="C21" s="8" t="s">
        <v>36</v>
      </c>
      <c r="D21" s="8" t="s">
        <v>6</v>
      </c>
      <c r="E21" s="8" t="s">
        <v>6</v>
      </c>
      <c r="F21" s="8" t="s">
        <v>6</v>
      </c>
      <c r="G21" s="8" t="s">
        <v>6</v>
      </c>
      <c r="H21" s="8" t="s">
        <v>6</v>
      </c>
      <c r="I21" s="8" t="s">
        <v>6</v>
      </c>
      <c r="J21" s="1">
        <v>260</v>
      </c>
      <c r="K21" cm="1">
        <f t="array" ref="K21">CountResources(O9:O13, D21:I21) * J21</f>
        <v>1560</v>
      </c>
      <c r="O21" s="9" t="s">
        <v>65</v>
      </c>
      <c r="P21" s="9"/>
      <c r="Q21" s="1">
        <f>P3+P4</f>
        <v>36</v>
      </c>
    </row>
    <row r="22" spans="1:17" x14ac:dyDescent="0.25">
      <c r="J22">
        <f>SUM(J2:J8,J13:J14,J16,J19:J21)</f>
        <v>3310</v>
      </c>
      <c r="K22">
        <f>SUM(K2:K21)</f>
        <v>13570</v>
      </c>
      <c r="L22">
        <f>SUM(J22:K22)</f>
        <v>16880</v>
      </c>
      <c r="O22" s="9" t="s">
        <v>66</v>
      </c>
      <c r="P22" s="9"/>
      <c r="Q22" s="1">
        <f>Q20+Q21</f>
        <v>92</v>
      </c>
    </row>
    <row r="23" spans="1:17" x14ac:dyDescent="0.25">
      <c r="O23" s="10" t="s">
        <v>67</v>
      </c>
      <c r="P23" s="10"/>
      <c r="Q23" s="1">
        <f>ROUND(Q19/(100*Q22)%, 3)</f>
        <v>177.17400000000001</v>
      </c>
    </row>
  </sheetData>
  <mergeCells count="6">
    <mergeCell ref="N3:N15"/>
    <mergeCell ref="O19:P19"/>
    <mergeCell ref="O20:P20"/>
    <mergeCell ref="O21:P21"/>
    <mergeCell ref="O22:P22"/>
    <mergeCell ref="O23:P23"/>
  </mergeCells>
  <conditionalFormatting sqref="D2:I21 N3:O3 O4:O14">
    <cfRule type="cellIs" dxfId="13" priority="1" operator="equal">
      <formula>"Petricite Mill"</formula>
    </cfRule>
    <cfRule type="cellIs" dxfId="12" priority="2" operator="equal">
      <formula>"Forge"</formula>
    </cfRule>
    <cfRule type="cellIs" dxfId="11" priority="3" operator="equal">
      <formula>"Quarry"</formula>
    </cfRule>
    <cfRule type="cellIs" dxfId="10" priority="4" operator="equal">
      <formula>"Lumberyard"</formula>
    </cfRule>
    <cfRule type="cellIs" dxfId="9" priority="5" operator="equal">
      <formula>"Farm"</formula>
    </cfRule>
    <cfRule type="cellIs" dxfId="8" priority="6" operator="equal">
      <formula>"Marketplace"</formula>
    </cfRule>
    <cfRule type="cellIs" dxfId="7" priority="7" operator="equal">
      <formula>"Academy"</formula>
    </cfRule>
    <cfRule type="cellIs" dxfId="6" priority="8" operator="equal">
      <formula>"Unique"</formula>
    </cfRule>
    <cfRule type="cellIs" dxfId="5" priority="9" operator="equal">
      <formula>"Barracks"</formula>
    </cfRule>
    <cfRule type="cellIs" dxfId="4" priority="10" operator="equal">
      <formula>"Aviary"</formula>
    </cfRule>
    <cfRule type="cellIs" dxfId="3" priority="11" operator="equal">
      <formula>"Quartermaster"</formula>
    </cfRule>
  </conditionalFormatting>
  <conditionalFormatting sqref="C2:C21">
    <cfRule type="cellIs" dxfId="2" priority="12" operator="equal">
      <formula>"M"</formula>
    </cfRule>
    <cfRule type="cellIs" dxfId="1" priority="13" operator="equal">
      <formula>"B"</formula>
    </cfRule>
    <cfRule type="cellIs" dxfId="0" priority="14" operator="equal">
      <formula>"H"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Base</vt:lpstr>
      <vt:lpstr>Custom</vt:lpstr>
      <vt:lpstr>Corrected</vt:lpstr>
      <vt:lpstr>Custom Corrected</vt:lpstr>
      <vt:lpstr>Testing</vt:lpstr>
      <vt:lpstr>Testing!B_ROWS</vt:lpstr>
      <vt:lpstr>B_ROWS</vt:lpstr>
      <vt:lpstr>Testing!H_ROWS</vt:lpstr>
      <vt:lpstr>H_ROWS</vt:lpstr>
      <vt:lpstr>Testing!M_ROWS</vt:lpstr>
      <vt:lpstr>M_ROWS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Taher</dc:creator>
  <cp:lastModifiedBy>Saif Taher</cp:lastModifiedBy>
  <dcterms:created xsi:type="dcterms:W3CDTF">2026-04-07T16:57:41Z</dcterms:created>
  <dcterms:modified xsi:type="dcterms:W3CDTF">2026-04-13T16:18:49Z</dcterms:modified>
</cp:coreProperties>
</file>